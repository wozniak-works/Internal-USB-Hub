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cuments\KiCAD_Projects\USB_hub\docs\"/>
    </mc:Choice>
  </mc:AlternateContent>
  <xr:revisionPtr revIDLastSave="0" documentId="8_{409BB054-9C21-4458-9E9D-20997484111B}" xr6:coauthVersionLast="47" xr6:coauthVersionMax="47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0" yWindow="360" windowWidth="29040" windowHeight="15720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1" l="1"/>
  <c r="D55" i="1" l="1"/>
  <c r="D13" i="1" l="1"/>
  <c r="D25" i="1" l="1"/>
  <c r="D42" i="1" l="1"/>
  <c r="L43" i="1" s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D30" i="1" s="1"/>
  <c r="L44" i="1"/>
  <c r="G85" i="1"/>
  <c r="G31" i="1" l="1"/>
  <c r="D31" i="1" s="1"/>
  <c r="E98" i="1" s="1"/>
  <c r="G44" i="1"/>
  <c r="E97" i="1"/>
  <c r="D34" i="1"/>
  <c r="G6" i="1"/>
  <c r="G11" i="1"/>
  <c r="D36" i="1" l="1"/>
  <c r="D32" i="1"/>
  <c r="D35" i="1"/>
  <c r="D33" i="1"/>
  <c r="I98" i="1"/>
  <c r="J25" i="1"/>
  <c r="I107" i="1"/>
  <c r="J26" i="1"/>
  <c r="I99" i="1"/>
  <c r="J24" i="1"/>
  <c r="D44" i="1"/>
  <c r="E100" i="1" s="1"/>
  <c r="G45" i="1"/>
  <c r="L23" i="1"/>
  <c r="D45" i="1" l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 s="1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8" i="13"/>
  <c r="B37" i="13" s="1"/>
  <c r="B35" i="13"/>
  <c r="B34" i="13" s="1"/>
  <c r="B33" i="13" s="1"/>
  <c r="B31" i="13"/>
  <c r="B30" i="13" s="1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 s="1"/>
  <c r="C31" i="13"/>
  <c r="C30" i="13" s="1"/>
  <c r="C29" i="13" s="1"/>
  <c r="C27" i="13"/>
  <c r="C26" i="13"/>
  <c r="C25" i="13" s="1"/>
  <c r="C23" i="13"/>
  <c r="C22" i="13"/>
  <c r="C21" i="13" s="1"/>
  <c r="C19" i="13"/>
  <c r="C18" i="13" s="1"/>
  <c r="C17" i="13" s="1"/>
  <c r="D69" i="1"/>
  <c r="D48" i="1" l="1"/>
  <c r="G86" i="1"/>
  <c r="D86" i="1" s="1"/>
  <c r="L24" i="1"/>
  <c r="E105" i="1" l="1"/>
  <c r="D87" i="1"/>
  <c r="L26" i="1"/>
  <c r="D88" i="1"/>
  <c r="G88" i="1" s="1"/>
  <c r="G89" i="1" s="1"/>
  <c r="D89" i="1" s="1"/>
  <c r="E106" i="1" s="1"/>
  <c r="I104" i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D81" i="1" s="1"/>
  <c r="E104" i="1" s="1"/>
  <c r="G60" i="1"/>
  <c r="G62" i="1" s="1"/>
  <c r="D62" i="1" s="1"/>
  <c r="J42" i="1"/>
  <c r="L48" i="1" l="1"/>
  <c r="G49" i="1" s="1"/>
  <c r="D82" i="1"/>
  <c r="I102" i="1" s="1"/>
  <c r="E101" i="1" l="1"/>
  <c r="D50" i="1"/>
  <c r="D51" i="1" s="1"/>
  <c r="D132" i="1"/>
  <c r="D133" i="1" s="1"/>
  <c r="G82" i="1" s="1"/>
  <c r="E103" i="1"/>
  <c r="D63" i="1"/>
  <c r="D64" i="1" s="1"/>
  <c r="D76" i="1"/>
  <c r="D77" i="1"/>
  <c r="G64" i="1" l="1"/>
  <c r="D65" i="1" s="1"/>
  <c r="J41" i="1"/>
  <c r="D66" i="1"/>
  <c r="D70" i="1" s="1"/>
  <c r="L71" i="1" l="1"/>
  <c r="M71" i="1"/>
  <c r="M70" i="1"/>
  <c r="L70" i="1"/>
  <c r="G71" i="1" s="1"/>
  <c r="D71" i="1" s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<sst xmlns="http://schemas.openxmlformats.org/spreadsheetml/2006/main" count="347" uniqueCount="248">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</sst>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4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167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39" fillId="0" borderId="0" xfId="0" applyNumberFormat="1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8.657580469744504</c:v>
                </c:pt>
                <c:pt idx="1">
                  <c:v>9.4446332397212736</c:v>
                </c:pt>
                <c:pt idx="2">
                  <c:v>14.742503071959904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0.56097560975609762</c:v>
                </c:pt>
                <c:pt idx="1">
                  <c:v>14.709999999999999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96</xdr:row>
          <xdr:rowOff>19050</xdr:rowOff>
        </xdr:from>
        <xdr:to>
          <xdr:col>2</xdr:col>
          <xdr:colOff>3933825</xdr:colOff>
          <xdr:row>105</xdr:row>
          <xdr:rowOff>19050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topLeftCell="A48" zoomScale="121" zoomScaleNormal="70" workbookViewId="0">
      <selection activeCell="D66" sqref="D66"/>
    </sheetView>
  </sheetViews>
  <sheetFormatPr defaultColWidth="9.140625" defaultRowHeight="18" customHeight="1" x14ac:dyDescent="0.25"/>
  <cols>
    <col min="1" max="1" width="2.42578125" style="1" customWidth="1"/>
    <col min="2" max="2" width="28.5703125" style="1" customWidth="1"/>
    <col min="3" max="3" width="64.140625" style="79" customWidth="1"/>
    <col min="4" max="4" width="16.7109375" style="3" customWidth="1"/>
    <col min="5" max="5" width="10.42578125" style="1" customWidth="1"/>
    <col min="6" max="6" width="9.140625" style="5" bestFit="1" customWidth="1"/>
    <col min="7" max="7" width="13.5703125" style="32" bestFit="1" customWidth="1"/>
    <col min="8" max="8" width="9.7109375" style="1" bestFit="1" customWidth="1"/>
    <col min="9" max="9" width="11.5703125" style="1" bestFit="1" customWidth="1"/>
    <col min="10" max="10" width="20.7109375" style="1" customWidth="1"/>
    <col min="11" max="11" width="62.5703125" style="1" customWidth="1"/>
    <col min="12" max="13" width="21.28515625" style="1" customWidth="1"/>
    <col min="14" max="14" width="14.7109375" style="1" customWidth="1"/>
    <col min="15" max="15" width="27.28515625" style="1" customWidth="1"/>
    <col min="16" max="16" width="10.28515625" style="1" bestFit="1" customWidth="1"/>
    <col min="17" max="17" width="5.140625" style="1" bestFit="1" customWidth="1"/>
    <col min="18" max="18" width="13.5703125" style="5" bestFit="1" customWidth="1"/>
    <col min="19" max="19" width="14.42578125" style="5" bestFit="1" customWidth="1"/>
    <col min="20" max="26" width="9.140625" style="1"/>
    <col min="27" max="28" width="0" style="1" hidden="1" customWidth="1"/>
    <col min="29" max="16384" width="9.140625" style="1"/>
  </cols>
  <sheetData>
    <row r="1" spans="2:28" ht="24" customHeight="1" x14ac:dyDescent="0.25">
      <c r="B1" s="248" t="s">
        <v>216</v>
      </c>
      <c r="C1" s="249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15" customHeight="1" x14ac:dyDescent="0.25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3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25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75" x14ac:dyDescent="0.25">
      <c r="B5" s="116" t="s">
        <v>171</v>
      </c>
      <c r="C5" s="78" t="s">
        <v>172</v>
      </c>
      <c r="D5" s="39">
        <v>12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5" x14ac:dyDescent="0.25">
      <c r="B6" s="126" t="s">
        <v>85</v>
      </c>
      <c r="C6" s="126" t="s">
        <v>111</v>
      </c>
      <c r="D6" s="127">
        <v>14.4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5" x14ac:dyDescent="0.25">
      <c r="B7" s="126" t="s">
        <v>217</v>
      </c>
      <c r="C7" s="126" t="s">
        <v>218</v>
      </c>
      <c r="D7" s="127">
        <v>15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5" x14ac:dyDescent="0.25">
      <c r="B8" s="126" t="s">
        <v>162</v>
      </c>
      <c r="C8" s="126" t="s">
        <v>108</v>
      </c>
      <c r="D8" s="127">
        <v>9.6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149999999999999" customHeight="1" x14ac:dyDescent="0.25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75" x14ac:dyDescent="0.25">
      <c r="B10" s="116" t="s">
        <v>9</v>
      </c>
      <c r="C10" s="78" t="s">
        <v>10</v>
      </c>
      <c r="D10" s="40">
        <v>1000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" customHeight="1" x14ac:dyDescent="0.25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32">
        <f>Vcc_nom/Imax</f>
        <v>0.96</v>
      </c>
      <c r="L11"/>
      <c r="M11"/>
      <c r="N11"/>
      <c r="O11"/>
      <c r="P11"/>
      <c r="R11" s="1"/>
      <c r="S11" s="1"/>
    </row>
    <row r="12" spans="2:28" ht="18" customHeight="1" x14ac:dyDescent="0.25">
      <c r="B12" s="116" t="s">
        <v>12</v>
      </c>
      <c r="C12" s="78" t="s">
        <v>13</v>
      </c>
      <c r="D12" s="39">
        <v>12.5</v>
      </c>
      <c r="E12" s="25" t="s">
        <v>4</v>
      </c>
      <c r="F12" s="50"/>
      <c r="M12" s="5"/>
      <c r="R12" s="1"/>
      <c r="S12" s="1"/>
    </row>
    <row r="13" spans="2:28" s="133" customFormat="1" ht="17.649999999999999" customHeight="1" x14ac:dyDescent="0.25">
      <c r="B13" s="128" t="s">
        <v>14</v>
      </c>
      <c r="C13" s="129" t="s">
        <v>213</v>
      </c>
      <c r="D13" s="130">
        <f>Imax*1.2</f>
        <v>15</v>
      </c>
      <c r="E13" s="131" t="s">
        <v>4</v>
      </c>
      <c r="F13" s="132"/>
      <c r="G13" s="217"/>
      <c r="M13" s="134"/>
    </row>
    <row r="14" spans="2:28" s="133" customFormat="1" ht="15" customHeight="1" x14ac:dyDescent="0.25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17"/>
      <c r="M14" s="134"/>
    </row>
    <row r="15" spans="2:28" ht="25.15" customHeight="1" x14ac:dyDescent="0.25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25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25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25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25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25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25">
      <c r="B21" s="128" t="s">
        <v>144</v>
      </c>
      <c r="C21" s="128" t="s">
        <v>127</v>
      </c>
      <c r="D21" s="158">
        <v>2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3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.75" thickBot="1" x14ac:dyDescent="0.3">
      <c r="B23" s="256" t="s">
        <v>238</v>
      </c>
      <c r="C23" s="257"/>
      <c r="D23" s="257"/>
      <c r="E23" s="257"/>
      <c r="F23" s="258"/>
      <c r="G23" s="90"/>
      <c r="L23" s="91">
        <f>IF(D24&gt;=100,D24,IF(D24&gt;=10,D24*10,D24*100))</f>
        <v>960</v>
      </c>
      <c r="P23" s="216">
        <f>(OVref*D26)/(D24-OVref)</f>
        <v>71.285714285714278</v>
      </c>
      <c r="R23" s="92"/>
      <c r="S23" s="92"/>
    </row>
    <row r="24" spans="1:20" s="91" customFormat="1" ht="18" customHeight="1" x14ac:dyDescent="0.25">
      <c r="B24" s="159" t="s">
        <v>219</v>
      </c>
      <c r="C24" s="160" t="s">
        <v>220</v>
      </c>
      <c r="D24" s="161">
        <f>UVset</f>
        <v>9.6</v>
      </c>
      <c r="E24" s="162"/>
      <c r="F24" s="163"/>
      <c r="G24" s="90"/>
      <c r="J24" s="93">
        <f>D33</f>
        <v>8.657580469744504</v>
      </c>
      <c r="K24" s="94" t="s">
        <v>78</v>
      </c>
      <c r="L24" s="95">
        <f>IF(D25&gt;=100,D25,IF(D25&gt;=10,D25*10,D25*100))</f>
        <v>150</v>
      </c>
      <c r="R24" s="92"/>
      <c r="S24" s="92"/>
      <c r="T24" s="96"/>
    </row>
    <row r="25" spans="1:20" s="91" customFormat="1" ht="18" customHeight="1" x14ac:dyDescent="0.25">
      <c r="B25" s="164" t="s">
        <v>221</v>
      </c>
      <c r="C25" s="165" t="s">
        <v>222</v>
      </c>
      <c r="D25" s="166">
        <f>D7</f>
        <v>15</v>
      </c>
      <c r="E25" s="167"/>
      <c r="F25" s="168"/>
      <c r="G25" s="90"/>
      <c r="J25" s="93">
        <f>D32</f>
        <v>9.4446332397212736</v>
      </c>
      <c r="K25" s="94" t="s">
        <v>91</v>
      </c>
      <c r="R25" s="92"/>
      <c r="S25" s="92"/>
      <c r="T25" s="97"/>
    </row>
    <row r="26" spans="1:20" s="91" customFormat="1" ht="18" customHeight="1" x14ac:dyDescent="0.25">
      <c r="B26" s="164" t="s">
        <v>223</v>
      </c>
      <c r="C26" s="165" t="s">
        <v>224</v>
      </c>
      <c r="D26" s="169">
        <v>499</v>
      </c>
      <c r="E26" s="25" t="s">
        <v>18</v>
      </c>
      <c r="F26" s="170">
        <v>0.01</v>
      </c>
      <c r="G26" s="90"/>
      <c r="J26" s="93">
        <f>D34</f>
        <v>14.742503071959904</v>
      </c>
      <c r="K26" s="140" t="s">
        <v>173</v>
      </c>
      <c r="L26" s="99">
        <f>INDEX('Res EIA Tables'!E$5:E$197,2+MATCH(L24,'Res EIA Tables'!E$5:E$197))</f>
        <v>154</v>
      </c>
      <c r="R26" s="92"/>
      <c r="S26" s="92"/>
    </row>
    <row r="27" spans="1:20" s="96" customFormat="1" ht="18" customHeight="1" x14ac:dyDescent="0.25">
      <c r="A27" s="91"/>
      <c r="B27" s="164" t="s">
        <v>225</v>
      </c>
      <c r="C27" s="165" t="s">
        <v>226</v>
      </c>
      <c r="D27" s="171">
        <f>P23-D28</f>
        <v>25.662857142857142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25">
      <c r="A28" s="96"/>
      <c r="B28" s="164" t="s">
        <v>227</v>
      </c>
      <c r="C28" s="165" t="s">
        <v>226</v>
      </c>
      <c r="D28" s="171">
        <f>(D26+P23)*OVref/D25</f>
        <v>45.622857142857136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25">
      <c r="A29" s="97"/>
      <c r="B29" s="259" t="s">
        <v>228</v>
      </c>
      <c r="C29" s="260"/>
      <c r="D29" s="174"/>
      <c r="E29" s="174"/>
      <c r="F29" s="173"/>
      <c r="G29" s="101"/>
      <c r="R29" s="92"/>
      <c r="S29" s="92"/>
    </row>
    <row r="30" spans="1:20" s="91" customFormat="1" ht="18" customHeight="1" x14ac:dyDescent="0.25">
      <c r="B30" s="164" t="s">
        <v>229</v>
      </c>
      <c r="C30" s="165" t="s">
        <v>230</v>
      </c>
      <c r="D30" s="175">
        <f>G30</f>
        <v>26.1</v>
      </c>
      <c r="E30" s="27" t="s">
        <v>18</v>
      </c>
      <c r="F30" s="176">
        <v>0.01</v>
      </c>
      <c r="G30" s="219">
        <f>L42/L41*D27</f>
        <v>26.1</v>
      </c>
      <c r="R30" s="92"/>
      <c r="S30" s="92"/>
    </row>
    <row r="31" spans="1:20" ht="18" customHeight="1" x14ac:dyDescent="0.25">
      <c r="B31" s="164" t="s">
        <v>231</v>
      </c>
      <c r="C31" s="165" t="s">
        <v>232</v>
      </c>
      <c r="D31" s="175">
        <f>G31</f>
        <v>46.529064579256357</v>
      </c>
      <c r="E31" s="27" t="s">
        <v>18</v>
      </c>
      <c r="F31" s="176">
        <v>0.01</v>
      </c>
      <c r="G31" s="156">
        <f>L44/L43*D28</f>
        <v>46.529064579256357</v>
      </c>
    </row>
    <row r="32" spans="1:20" ht="18" customHeight="1" x14ac:dyDescent="0.25">
      <c r="B32" s="164" t="s">
        <v>106</v>
      </c>
      <c r="C32" s="165" t="s">
        <v>108</v>
      </c>
      <c r="D32" s="177">
        <f>OVref*(D26+D30+D31)/(D30+D31)</f>
        <v>9.4446332397212736</v>
      </c>
      <c r="E32" s="27" t="s">
        <v>6</v>
      </c>
      <c r="F32" s="178"/>
    </row>
    <row r="33" spans="2:19" ht="18" customHeight="1" x14ac:dyDescent="0.25">
      <c r="B33" s="164" t="s">
        <v>107</v>
      </c>
      <c r="C33" s="165" t="s">
        <v>109</v>
      </c>
      <c r="D33" s="177">
        <f>UVref*(D26+D30+D31)/(D30+D31)</f>
        <v>8.657580469744504</v>
      </c>
      <c r="E33" s="27" t="s">
        <v>6</v>
      </c>
      <c r="F33" s="178"/>
    </row>
    <row r="34" spans="2:19" ht="18" customHeight="1" x14ac:dyDescent="0.25">
      <c r="B34" s="164" t="s">
        <v>233</v>
      </c>
      <c r="C34" s="165" t="s">
        <v>218</v>
      </c>
      <c r="D34" s="177">
        <f>OVref*(D26+D30+D31)/(D31)</f>
        <v>14.742503071959904</v>
      </c>
      <c r="E34" s="27" t="s">
        <v>6</v>
      </c>
      <c r="F34" s="178"/>
    </row>
    <row r="35" spans="2:19" ht="18" customHeight="1" x14ac:dyDescent="0.25">
      <c r="B35" s="164" t="s">
        <v>234</v>
      </c>
      <c r="C35" s="165" t="s">
        <v>235</v>
      </c>
      <c r="D35" s="177">
        <f>UVref*(D26+D30+D31)/(D31)</f>
        <v>13.513961149296581</v>
      </c>
      <c r="E35" s="27" t="s">
        <v>6</v>
      </c>
      <c r="F35" s="178"/>
    </row>
    <row r="36" spans="2:19" ht="18" customHeight="1" thickBot="1" x14ac:dyDescent="0.3">
      <c r="B36" s="179" t="s">
        <v>236</v>
      </c>
      <c r="C36" s="180" t="s">
        <v>237</v>
      </c>
      <c r="D36" s="181">
        <f>D6*1000/(D26+D30+D31)</f>
        <v>25.191161353209043</v>
      </c>
      <c r="E36" s="182" t="s">
        <v>7</v>
      </c>
      <c r="F36" s="183"/>
    </row>
    <row r="41" spans="2:19" ht="18" customHeight="1" x14ac:dyDescent="0.25">
      <c r="B41" s="250" t="s">
        <v>131</v>
      </c>
      <c r="C41" s="251"/>
      <c r="D41" s="57"/>
      <c r="E41" s="56"/>
      <c r="F41" s="58"/>
      <c r="J41" s="4">
        <f>Icharge</f>
        <v>0.56097560975609762</v>
      </c>
      <c r="K41" s="52" t="s">
        <v>79</v>
      </c>
      <c r="L41" s="73">
        <f>IF(D27&gt;=10000,D27/100,IF(D27&gt;=1000,D27/10,IF(D27&gt;=100,D27,IF(D27&gt;=10,D27*10,D27*100))))</f>
        <v>256.62857142857143</v>
      </c>
    </row>
    <row r="42" spans="2:19" ht="18" customHeight="1" x14ac:dyDescent="0.25">
      <c r="B42" s="59" t="s">
        <v>135</v>
      </c>
      <c r="C42" s="76" t="s">
        <v>17</v>
      </c>
      <c r="D42" s="21">
        <f>1460/(Ilimit-0.11)</f>
        <v>98.052384150436538</v>
      </c>
      <c r="E42" s="25" t="s">
        <v>50</v>
      </c>
      <c r="F42" s="26"/>
      <c r="J42" s="4">
        <f>Ilimit_final</f>
        <v>14.709999999999999</v>
      </c>
      <c r="K42" s="52" t="s">
        <v>80</v>
      </c>
      <c r="L42" s="1">
        <f>INDEX('Res EIA Tables'!E$5:E$197,2+MATCH(L41,'Res EIA Tables'!E$5:E$197))</f>
        <v>261</v>
      </c>
    </row>
    <row r="43" spans="2:19" ht="21.75" customHeight="1" x14ac:dyDescent="0.25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980.52384150436535</v>
      </c>
    </row>
    <row r="44" spans="2:19" ht="18" customHeight="1" x14ac:dyDescent="0.25">
      <c r="B44" s="61" t="s">
        <v>132</v>
      </c>
      <c r="C44" s="81" t="s">
        <v>134</v>
      </c>
      <c r="D44" s="124">
        <f>G44</f>
        <v>100</v>
      </c>
      <c r="E44" s="25" t="s">
        <v>50</v>
      </c>
      <c r="F44" s="41">
        <v>0.01</v>
      </c>
      <c r="G44" s="220">
        <f>L44*D42/L43</f>
        <v>100</v>
      </c>
      <c r="L44" s="1">
        <f>INDEX('Res EIA Tables'!E$5:E$197,2+MATCH(L43,'Res EIA Tables'!E$5:E$197))</f>
        <v>1000</v>
      </c>
    </row>
    <row r="45" spans="2:19" ht="18" customHeight="1" x14ac:dyDescent="0.25">
      <c r="B45" s="65" t="s">
        <v>15</v>
      </c>
      <c r="C45" s="84" t="s">
        <v>16</v>
      </c>
      <c r="D45" s="46">
        <f>((1460/RILIM)+0.11)</f>
        <v>14.709999999999999</v>
      </c>
      <c r="E45" s="48" t="s">
        <v>4</v>
      </c>
      <c r="F45" s="49">
        <f>SQRT(((27.875*((1460/D44)+0.11)^-0.459)/100)^2+F44^2)</f>
        <v>8.1762362915657943E-2</v>
      </c>
      <c r="G45" s="221">
        <f>((1460/G44)+0.11)*(100-(27.875*((1460/G44)+0.11)^-0.459))/100</f>
        <v>13.516305117501309</v>
      </c>
      <c r="H45" s="215" t="s">
        <v>4</v>
      </c>
    </row>
    <row r="46" spans="2:19" ht="21.75" customHeight="1" x14ac:dyDescent="0.25">
      <c r="L46" s="4"/>
      <c r="R46" s="1"/>
      <c r="S46" s="1"/>
    </row>
    <row r="47" spans="2:19" ht="18" customHeight="1" x14ac:dyDescent="0.25">
      <c r="B47" s="247" t="s">
        <v>136</v>
      </c>
      <c r="C47" s="247"/>
      <c r="D47" s="247"/>
      <c r="E47" s="247"/>
      <c r="F47" s="122"/>
      <c r="G47" s="54"/>
      <c r="L47" s="73">
        <f>IF(G48&gt;=100,G48,IF(G48&gt;=10,G48*10,G48*100))</f>
        <v>559.51411793998102</v>
      </c>
      <c r="M47" s="73"/>
      <c r="R47" s="1"/>
      <c r="S47" s="1"/>
    </row>
    <row r="48" spans="2:19" ht="18" customHeight="1" x14ac:dyDescent="0.25">
      <c r="B48" s="63" t="s">
        <v>137</v>
      </c>
      <c r="C48" s="63" t="s">
        <v>138</v>
      </c>
      <c r="D48" s="21">
        <f>Vimon_max/(Ilimit_final*243*10^-6)</f>
        <v>559.51411793998102</v>
      </c>
      <c r="E48" s="25" t="s">
        <v>50</v>
      </c>
      <c r="F48" s="26"/>
      <c r="G48" s="222">
        <f>D48</f>
        <v>559.51411793998102</v>
      </c>
      <c r="L48" s="73">
        <f>IF(L47&gt;1000,INDEX('Res EIA Tables'!E$5:E$197,MATCH(L47/10,'Res EIA Tables'!E$5:E$197))*10,INDEX('Res EIA Tables'!E$5:E$197,MATCH(L47,'Res EIA Tables'!E$5:E$197)))</f>
        <v>549</v>
      </c>
      <c r="R48" s="1"/>
      <c r="S48" s="1"/>
    </row>
    <row r="49" spans="1:20" s="47" customFormat="1" ht="18" customHeight="1" x14ac:dyDescent="0.25">
      <c r="A49" s="1"/>
      <c r="B49" s="61" t="s">
        <v>139</v>
      </c>
      <c r="C49" s="61" t="s">
        <v>140</v>
      </c>
      <c r="D49" s="38">
        <f>G49</f>
        <v>549</v>
      </c>
      <c r="E49" s="27" t="s">
        <v>50</v>
      </c>
      <c r="F49" s="42">
        <v>0.01</v>
      </c>
      <c r="G49" s="156">
        <f>L48*G48/L47</f>
        <v>549</v>
      </c>
      <c r="L49" s="123"/>
    </row>
    <row r="50" spans="1:20" ht="18" customHeight="1" x14ac:dyDescent="0.25">
      <c r="A50" s="47"/>
      <c r="B50" s="62" t="s">
        <v>143</v>
      </c>
      <c r="C50" s="62" t="s">
        <v>141</v>
      </c>
      <c r="D50" s="46">
        <f>(Ilimit_final*RMON_sel*243*10^-6)</f>
        <v>1.9624169699999996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649999999999999" customHeight="1" x14ac:dyDescent="0.25">
      <c r="B51" s="254" t="s">
        <v>142</v>
      </c>
      <c r="C51" s="255"/>
      <c r="D51" s="142" t="str">
        <f>IF(D50&gt;D21,"VIMON is Outside limits of uC interface", "VIMON is Within Limits")</f>
        <v>VIMON is Within Limits</v>
      </c>
      <c r="E51" s="141"/>
      <c r="F51" s="141"/>
    </row>
    <row r="52" spans="1:20" ht="18.75" x14ac:dyDescent="0.25">
      <c r="T52" s="47"/>
    </row>
    <row r="53" spans="1:20" ht="18" customHeight="1" x14ac:dyDescent="0.25">
      <c r="B53" s="247" t="s">
        <v>98</v>
      </c>
      <c r="C53" s="247"/>
      <c r="D53" s="57"/>
      <c r="E53" s="56"/>
      <c r="F53" s="58"/>
      <c r="T53" s="47"/>
    </row>
    <row r="54" spans="1:20" ht="18" customHeight="1" x14ac:dyDescent="0.25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25">
      <c r="A55" s="1"/>
      <c r="B55" s="59" t="s">
        <v>99</v>
      </c>
      <c r="C55" s="76" t="s">
        <v>166</v>
      </c>
      <c r="D55" s="23">
        <f>Vcc_nom/7.35</f>
        <v>1.6326530612244898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25">
      <c r="B56" s="59" t="s">
        <v>81</v>
      </c>
      <c r="C56" s="76" t="s">
        <v>86</v>
      </c>
      <c r="D56" s="23">
        <f>MIN(Cout*(Vcc_nom/D55)/1000, Ilimit_final)</f>
        <v>7.35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25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25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25">
      <c r="B59" s="59" t="s">
        <v>87</v>
      </c>
      <c r="C59" s="76" t="s">
        <v>167</v>
      </c>
      <c r="D59" s="30">
        <f>IF(Tchg_req&lt;Tchg_fastest,    0,  (4600*Tchg_req/Vcc_nom)/1000)</f>
        <v>7.666666666666667</v>
      </c>
      <c r="E59" s="27" t="s">
        <v>8</v>
      </c>
      <c r="F59" s="28"/>
      <c r="R59"/>
    </row>
    <row r="60" spans="1:20" ht="18" customHeight="1" x14ac:dyDescent="0.25">
      <c r="B60" s="59" t="s">
        <v>88</v>
      </c>
      <c r="C60" s="76" t="s">
        <v>168</v>
      </c>
      <c r="D60" s="30">
        <f>(4600*(Cout/1000)/Icharge_req)/1000</f>
        <v>4.5999999999999996</v>
      </c>
      <c r="E60" s="27" t="s">
        <v>8</v>
      </c>
      <c r="F60" s="28"/>
      <c r="G60" s="223">
        <f>MAX(Cdvdt_ext_cal1,Cext_dvdt_cal2)</f>
        <v>7.666666666666667</v>
      </c>
      <c r="R60"/>
    </row>
    <row r="61" spans="1:20" ht="15.75" x14ac:dyDescent="0.25">
      <c r="B61" s="60" t="s">
        <v>89</v>
      </c>
      <c r="C61" s="80"/>
      <c r="D61" s="22"/>
      <c r="E61" s="27"/>
      <c r="F61" s="28"/>
      <c r="R61"/>
    </row>
    <row r="62" spans="1:20" ht="15.75" x14ac:dyDescent="0.25">
      <c r="B62" s="61" t="s">
        <v>90</v>
      </c>
      <c r="C62" s="81" t="s">
        <v>169</v>
      </c>
      <c r="D62" s="38">
        <f>G62</f>
        <v>8.1999999999999993</v>
      </c>
      <c r="E62" s="27" t="s">
        <v>8</v>
      </c>
      <c r="F62" s="42">
        <v>0.1</v>
      </c>
      <c r="G62" s="224">
        <f>IF(G60&gt;1,    INDEX('Cap Tables'!B4:B75,1+MATCH(G60,'Cap Tables'!B4:B75)),     INDEX('Cap Tables'!A4:A75,1+MATCH(G60*10,'Cap Tables'!A4:A75))/10)</f>
        <v>8.1999999999999993</v>
      </c>
      <c r="R62"/>
    </row>
    <row r="63" spans="1:20" ht="18" customHeight="1" x14ac:dyDescent="0.25">
      <c r="B63" s="65" t="s">
        <v>58</v>
      </c>
      <c r="C63" s="84" t="s">
        <v>92</v>
      </c>
      <c r="D63" s="46">
        <f>(Cout/1000)*(4600/(Cdvdt_ext*1000))</f>
        <v>0.56097560975609762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25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25">
        <f>Cout*0.001*Rlstart*(Ilimit_final/Icharge -1+LN(Icharge/(Ilimit_final-Vcc_nom/Rlstart)))</f>
        <v>527.7636028838233</v>
      </c>
      <c r="R64"/>
    </row>
    <row r="65" spans="2:19" ht="18" customHeight="1" x14ac:dyDescent="0.25">
      <c r="B65" s="65" t="s">
        <v>93</v>
      </c>
      <c r="C65" s="84" t="s">
        <v>36</v>
      </c>
      <c r="D65" s="46">
        <f>IF(D64, G64, ((Cdvdt_ext*1000*Vcc_nom)/(4600)))</f>
        <v>21.391304347826086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25">
      <c r="B66" s="59" t="s">
        <v>94</v>
      </c>
      <c r="C66" s="76" t="s">
        <v>59</v>
      </c>
      <c r="D66" s="21">
        <f>0.5*Vcc_nom*Icharge</f>
        <v>3.3658536585365857</v>
      </c>
      <c r="E66" s="25" t="s">
        <v>32</v>
      </c>
      <c r="F66" s="26"/>
      <c r="R66"/>
    </row>
    <row r="67" spans="2:19" ht="18" customHeight="1" x14ac:dyDescent="0.25">
      <c r="R67"/>
    </row>
    <row r="68" spans="2:19" ht="16.149999999999999" customHeight="1" x14ac:dyDescent="0.25">
      <c r="B68" s="247" t="s">
        <v>48</v>
      </c>
      <c r="C68" s="247"/>
      <c r="D68" s="247"/>
      <c r="E68" s="247"/>
      <c r="F68" s="58"/>
      <c r="R68"/>
    </row>
    <row r="69" spans="2:19" ht="18" customHeight="1" x14ac:dyDescent="0.25">
      <c r="B69" s="59" t="s">
        <v>51</v>
      </c>
      <c r="C69" s="76" t="s">
        <v>60</v>
      </c>
      <c r="D69" s="21">
        <f>(1/6)*(Vcc_nom^2)/Rlstart</f>
        <v>1</v>
      </c>
      <c r="E69" s="27" t="s">
        <v>32</v>
      </c>
      <c r="F69" s="28"/>
      <c r="R69"/>
    </row>
    <row r="70" spans="2:19" ht="27" customHeight="1" x14ac:dyDescent="0.25">
      <c r="B70" s="59" t="s">
        <v>53</v>
      </c>
      <c r="C70" s="76" t="s">
        <v>52</v>
      </c>
      <c r="D70" s="21">
        <f>D66+D69</f>
        <v>4.3658536585365857</v>
      </c>
      <c r="E70" s="27" t="s">
        <v>32</v>
      </c>
      <c r="F70" s="28"/>
      <c r="L70" s="214">
        <f>(D65/1679.1)^(-1/1.946)</f>
        <v>9.4126045334017689</v>
      </c>
      <c r="M70" s="215">
        <f>INDEX('LUT "TSD vs PD start-up"'!C2:D21,MATCH(Tchg_dvdt,'LUT "TSD vs PD start-up"'!D2:D21,-1),1)</f>
        <v>9.2799999999999994</v>
      </c>
      <c r="R70"/>
    </row>
    <row r="71" spans="2:19" ht="30" x14ac:dyDescent="0.25">
      <c r="B71" s="59"/>
      <c r="C71" s="76" t="s">
        <v>110</v>
      </c>
      <c r="D71" s="21">
        <f>G71*0.8</f>
        <v>7.5300836267214155</v>
      </c>
      <c r="E71" s="27" t="s">
        <v>32</v>
      </c>
      <c r="F71" s="29">
        <v>0.2</v>
      </c>
      <c r="G71" s="218">
        <f>IF(Vcc_nom &gt;16.5, L71,L70)</f>
        <v>9.4126045334017689</v>
      </c>
      <c r="H71" s="125"/>
      <c r="I71" s="125"/>
      <c r="J71" s="121"/>
      <c r="K71" s="121"/>
      <c r="L71" s="214">
        <f>(D65/467.3)^(-1/1.661)</f>
        <v>6.4026051765244221</v>
      </c>
      <c r="M71" s="215">
        <f>INDEX('LUT "TSD vs PD start-up"'!A2:B24,MATCH(Tchg_dvdt,'LUT "TSD vs PD start-up"'!B2:B24,-1),1)</f>
        <v>6.69</v>
      </c>
      <c r="R71"/>
    </row>
    <row r="72" spans="2:19" ht="37.15" customHeight="1" x14ac:dyDescent="0.25">
      <c r="B72" s="59"/>
      <c r="C72" s="104" t="s">
        <v>112</v>
      </c>
      <c r="D72" s="252" t="str">
        <f>IF(D70&lt;(D71),"YES","NO, Increase Rlstart and/or Tchg_req; and/or Reduce Cout")</f>
        <v>YES</v>
      </c>
      <c r="E72" s="253"/>
      <c r="F72" s="253"/>
      <c r="G72" s="253"/>
      <c r="H72" s="253"/>
      <c r="I72" s="253"/>
      <c r="J72" s="253"/>
      <c r="R72"/>
    </row>
    <row r="73" spans="2:19" ht="18" customHeight="1" x14ac:dyDescent="0.25">
      <c r="R73"/>
    </row>
    <row r="74" spans="2:19" ht="18" customHeight="1" x14ac:dyDescent="0.25">
      <c r="B74" s="247" t="s">
        <v>47</v>
      </c>
      <c r="C74" s="247"/>
      <c r="D74" s="247"/>
      <c r="E74" s="247"/>
      <c r="F74" s="58"/>
      <c r="R74"/>
    </row>
    <row r="75" spans="2:19" ht="18" customHeight="1" x14ac:dyDescent="0.25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25">
      <c r="B76" s="59" t="s">
        <v>39</v>
      </c>
      <c r="C76" s="76" t="s">
        <v>41</v>
      </c>
      <c r="D76" s="21">
        <f>Imax*Rdson_25deg</f>
        <v>40</v>
      </c>
      <c r="E76" s="25" t="s">
        <v>40</v>
      </c>
      <c r="F76" s="26"/>
      <c r="R76"/>
    </row>
    <row r="77" spans="2:19" ht="18" customHeight="1" x14ac:dyDescent="0.25">
      <c r="B77" s="59" t="s">
        <v>84</v>
      </c>
      <c r="C77" s="76" t="s">
        <v>42</v>
      </c>
      <c r="D77" s="21">
        <f>Imax^2*Rdson_25deg</f>
        <v>500</v>
      </c>
      <c r="E77" s="25" t="s">
        <v>43</v>
      </c>
      <c r="F77" s="26"/>
      <c r="R77"/>
    </row>
    <row r="78" spans="2:19" ht="21.75" customHeight="1" x14ac:dyDescent="0.25">
      <c r="B78" s="31"/>
      <c r="C78" s="86"/>
      <c r="E78" s="32"/>
      <c r="G78" s="54"/>
      <c r="L78" s="4"/>
      <c r="R78"/>
      <c r="S78" s="1"/>
    </row>
    <row r="79" spans="2:19" ht="18" customHeight="1" x14ac:dyDescent="0.25">
      <c r="B79" s="247" t="s">
        <v>145</v>
      </c>
      <c r="C79" s="247"/>
      <c r="D79" s="247"/>
      <c r="E79" s="247"/>
      <c r="F79" s="122"/>
      <c r="G79" s="54"/>
      <c r="L79" s="73"/>
      <c r="M79" s="73"/>
      <c r="R79" s="1"/>
      <c r="S79" s="1"/>
    </row>
    <row r="80" spans="2:19" ht="18" customHeight="1" x14ac:dyDescent="0.25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22">
        <f>D80</f>
        <v>4.2553191489361701</v>
      </c>
      <c r="L80" s="73"/>
      <c r="R80" s="1"/>
      <c r="S80" s="1"/>
    </row>
    <row r="81" spans="1:19" s="47" customFormat="1" ht="18.600000000000001" customHeight="1" x14ac:dyDescent="0.25">
      <c r="A81" s="1"/>
      <c r="B81" s="61" t="s">
        <v>149</v>
      </c>
      <c r="C81" s="61" t="s">
        <v>148</v>
      </c>
      <c r="D81" s="38">
        <f>G81</f>
        <v>4.3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25">
      <c r="A82" s="47"/>
      <c r="B82" s="62" t="s">
        <v>150</v>
      </c>
      <c r="C82" s="82" t="s">
        <v>151</v>
      </c>
      <c r="D82" s="143">
        <f>D81*470</f>
        <v>2021</v>
      </c>
      <c r="E82" s="48" t="s">
        <v>117</v>
      </c>
      <c r="F82" s="62"/>
      <c r="G82" s="226">
        <f>(D133/53000)/1000*10^9</f>
        <v>569.17349121466771</v>
      </c>
      <c r="H82" s="215" t="s">
        <v>8</v>
      </c>
    </row>
    <row r="83" spans="1:19" ht="21.75" customHeight="1" x14ac:dyDescent="0.25">
      <c r="E83" s="32"/>
      <c r="G83" s="156"/>
      <c r="L83" s="4"/>
      <c r="R83" s="1"/>
      <c r="S83" s="1"/>
    </row>
    <row r="84" spans="1:19" ht="18" customHeight="1" x14ac:dyDescent="0.25">
      <c r="B84" s="247" t="s">
        <v>152</v>
      </c>
      <c r="C84" s="247"/>
      <c r="D84" s="247"/>
      <c r="E84" s="247"/>
      <c r="F84" s="122"/>
      <c r="G84" s="227"/>
      <c r="L84" s="73"/>
      <c r="M84" s="73"/>
      <c r="R84" s="1"/>
      <c r="S84" s="1"/>
    </row>
    <row r="85" spans="1:19" ht="18" customHeight="1" x14ac:dyDescent="0.25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22">
        <f>D85</f>
        <v>2.1313833013025838</v>
      </c>
      <c r="L85" s="73"/>
      <c r="R85" s="1"/>
      <c r="S85" s="1"/>
    </row>
    <row r="86" spans="1:19" s="47" customFormat="1" ht="18.75" customHeight="1" x14ac:dyDescent="0.25">
      <c r="A86" s="1"/>
      <c r="B86" s="61" t="s">
        <v>156</v>
      </c>
      <c r="C86" s="61" t="s">
        <v>155</v>
      </c>
      <c r="D86" s="38">
        <f>G86</f>
        <v>2.2000000000000002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25">
      <c r="A87" s="47"/>
      <c r="B87" s="62" t="s">
        <v>157</v>
      </c>
      <c r="C87" s="82" t="s">
        <v>123</v>
      </c>
      <c r="D87" s="46">
        <f>((D86*1000+4)*46.83)/1000</f>
        <v>103.21332</v>
      </c>
      <c r="E87" s="48" t="s">
        <v>5</v>
      </c>
      <c r="F87" s="62"/>
      <c r="G87" s="228"/>
      <c r="L87" s="73"/>
      <c r="M87" s="73"/>
      <c r="R87" s="1"/>
      <c r="S87" s="1"/>
    </row>
    <row r="88" spans="1:19" ht="18" customHeight="1" x14ac:dyDescent="0.25">
      <c r="B88" s="63" t="s">
        <v>214</v>
      </c>
      <c r="C88" s="63" t="s">
        <v>158</v>
      </c>
      <c r="D88" s="21">
        <f>IF(NRETRY="Infinite", "Short to Gnd", NRETRY*(D86*1000+4)/4000)</f>
        <v>2.2040000000000002</v>
      </c>
      <c r="E88" s="25" t="s">
        <v>8</v>
      </c>
      <c r="F88" s="26"/>
      <c r="G88" s="218">
        <f>IF(D88 ="Short to Gnd", "Short to Gnd", 0.9*D88)</f>
        <v>1.9836000000000003</v>
      </c>
      <c r="L88" s="73"/>
      <c r="R88" s="1"/>
      <c r="S88" s="1"/>
    </row>
    <row r="89" spans="1:19" s="47" customFormat="1" ht="18.75" customHeight="1" x14ac:dyDescent="0.25">
      <c r="A89" s="1"/>
      <c r="B89" s="61" t="s">
        <v>215</v>
      </c>
      <c r="C89" s="61" t="s">
        <v>159</v>
      </c>
      <c r="D89" s="124">
        <f>G89</f>
        <v>1.8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1.8</v>
      </c>
      <c r="H89" s="230">
        <f>4*D89*1000/(D86*1000+4)</f>
        <v>3.266787658802178</v>
      </c>
      <c r="L89" s="123"/>
    </row>
    <row r="90" spans="1:19" ht="18" customHeight="1" x14ac:dyDescent="0.25">
      <c r="A90" s="47"/>
      <c r="B90" s="62" t="s">
        <v>160</v>
      </c>
      <c r="C90" s="82" t="s">
        <v>161</v>
      </c>
      <c r="D90" s="143">
        <f>H90</f>
        <v>4</v>
      </c>
      <c r="E90" s="48"/>
      <c r="F90" s="62"/>
      <c r="G90" s="229">
        <f>IF(D89="Short to Gnd", "Infinite", 1024*((Ncalc/1024)-TRUNC(Ncalc/1024)))</f>
        <v>3.266787658802178</v>
      </c>
      <c r="H90" s="231">
        <f>Nretry!F5</f>
        <v>4</v>
      </c>
    </row>
    <row r="91" spans="1:19" ht="21.75" customHeight="1" x14ac:dyDescent="0.25">
      <c r="E91" s="32"/>
      <c r="L91" s="4"/>
      <c r="R91" s="1"/>
      <c r="S91" s="1"/>
    </row>
    <row r="92" spans="1:19" ht="18" customHeight="1" x14ac:dyDescent="0.25">
      <c r="E92" s="32"/>
    </row>
    <row r="93" spans="1:19" ht="18" customHeight="1" x14ac:dyDescent="0.25">
      <c r="E93" s="32"/>
    </row>
    <row r="94" spans="1:19" ht="18" customHeight="1" x14ac:dyDescent="0.25">
      <c r="E94" s="32"/>
    </row>
    <row r="95" spans="1:19" ht="18" customHeight="1" thickBot="1" x14ac:dyDescent="0.3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2">
      <c r="B96" s="191"/>
      <c r="D96" s="147" t="s">
        <v>239</v>
      </c>
      <c r="E96" s="144">
        <f>RpUVLO</f>
        <v>9.6</v>
      </c>
      <c r="F96" s="32" t="s">
        <v>18</v>
      </c>
      <c r="G96" s="245" t="s">
        <v>0</v>
      </c>
      <c r="H96" s="246"/>
      <c r="I96" s="148" t="s">
        <v>189</v>
      </c>
      <c r="J96" s="192" t="s">
        <v>190</v>
      </c>
      <c r="Q96" s="5"/>
      <c r="S96" s="1"/>
    </row>
    <row r="97" spans="2:19" ht="18" customHeight="1" x14ac:dyDescent="0.25">
      <c r="B97" s="193"/>
      <c r="D97" s="147" t="s">
        <v>240</v>
      </c>
      <c r="E97" s="146">
        <f>D30</f>
        <v>26.1</v>
      </c>
      <c r="F97" s="32" t="s">
        <v>18</v>
      </c>
      <c r="G97" s="239" t="s">
        <v>191</v>
      </c>
      <c r="H97" s="240"/>
      <c r="I97" s="150">
        <f>Ilimit_final</f>
        <v>14.709999999999999</v>
      </c>
      <c r="J97" s="194" t="s">
        <v>4</v>
      </c>
      <c r="Q97" s="5"/>
      <c r="S97" s="1"/>
    </row>
    <row r="98" spans="2:19" ht="18" customHeight="1" x14ac:dyDescent="0.25">
      <c r="B98" s="193"/>
      <c r="D98" s="147" t="s">
        <v>241</v>
      </c>
      <c r="E98" s="145">
        <f>D31</f>
        <v>46.529064579256357</v>
      </c>
      <c r="F98" s="32" t="s">
        <v>18</v>
      </c>
      <c r="G98" s="235" t="s">
        <v>192</v>
      </c>
      <c r="H98" s="236"/>
      <c r="I98" s="150">
        <f>D32</f>
        <v>9.4446332397212736</v>
      </c>
      <c r="J98" s="194" t="s">
        <v>6</v>
      </c>
      <c r="Q98" s="5"/>
      <c r="S98" s="1"/>
    </row>
    <row r="99" spans="2:19" ht="18" customHeight="1" x14ac:dyDescent="0.25">
      <c r="B99" s="193"/>
      <c r="D99" s="147" t="s">
        <v>242</v>
      </c>
      <c r="E99" s="144">
        <v>2</v>
      </c>
      <c r="F99" s="32" t="s">
        <v>50</v>
      </c>
      <c r="G99" s="235" t="s">
        <v>193</v>
      </c>
      <c r="H99" s="236"/>
      <c r="I99" s="150">
        <f>D33</f>
        <v>8.657580469744504</v>
      </c>
      <c r="J99" s="194" t="s">
        <v>6</v>
      </c>
      <c r="Q99" s="5"/>
      <c r="S99" s="1"/>
    </row>
    <row r="100" spans="2:19" ht="18" customHeight="1" x14ac:dyDescent="0.25">
      <c r="B100" s="193"/>
      <c r="D100" s="147" t="s">
        <v>175</v>
      </c>
      <c r="E100" s="144">
        <f>RILIM</f>
        <v>100</v>
      </c>
      <c r="F100" s="32" t="s">
        <v>50</v>
      </c>
      <c r="G100" s="241" t="s">
        <v>196</v>
      </c>
      <c r="H100" s="242"/>
      <c r="I100" s="261">
        <f>Tchg_dvdt</f>
        <v>21.391304347826086</v>
      </c>
      <c r="J100" s="263" t="s">
        <v>5</v>
      </c>
      <c r="Q100" s="5"/>
      <c r="S100" s="1"/>
    </row>
    <row r="101" spans="2:19" ht="18" customHeight="1" x14ac:dyDescent="0.25">
      <c r="B101" s="193"/>
      <c r="D101" s="147" t="s">
        <v>176</v>
      </c>
      <c r="E101" s="144">
        <f>RMON_sel</f>
        <v>549</v>
      </c>
      <c r="F101" s="32" t="s">
        <v>50</v>
      </c>
      <c r="G101" s="243"/>
      <c r="H101" s="244"/>
      <c r="I101" s="262"/>
      <c r="J101" s="264"/>
      <c r="Q101" s="5"/>
      <c r="S101" s="1"/>
    </row>
    <row r="102" spans="2:19" ht="18" customHeight="1" x14ac:dyDescent="0.25">
      <c r="B102" s="193"/>
      <c r="D102" s="147" t="s">
        <v>185</v>
      </c>
      <c r="E102" s="145">
        <v>10</v>
      </c>
      <c r="F102" s="32" t="s">
        <v>18</v>
      </c>
      <c r="G102" s="241" t="s">
        <v>197</v>
      </c>
      <c r="H102" s="242"/>
      <c r="I102" s="265">
        <f>D82</f>
        <v>2021</v>
      </c>
      <c r="J102" s="263" t="s">
        <v>117</v>
      </c>
      <c r="Q102" s="5"/>
      <c r="S102" s="1"/>
    </row>
    <row r="103" spans="2:19" ht="18" customHeight="1" x14ac:dyDescent="0.25">
      <c r="B103" s="193"/>
      <c r="D103" s="147" t="s">
        <v>177</v>
      </c>
      <c r="E103" s="145">
        <f>Cdvdt_ext</f>
        <v>8.1999999999999993</v>
      </c>
      <c r="F103" s="32" t="s">
        <v>8</v>
      </c>
      <c r="G103" s="243"/>
      <c r="H103" s="244"/>
      <c r="I103" s="266"/>
      <c r="J103" s="264"/>
      <c r="Q103" s="5"/>
      <c r="S103" s="1"/>
    </row>
    <row r="104" spans="2:19" ht="18" customHeight="1" x14ac:dyDescent="0.25">
      <c r="B104" s="193"/>
      <c r="D104" s="147" t="s">
        <v>178</v>
      </c>
      <c r="E104" s="146">
        <f>D81</f>
        <v>4.3</v>
      </c>
      <c r="F104" s="32" t="s">
        <v>8</v>
      </c>
      <c r="G104" s="235" t="s">
        <v>123</v>
      </c>
      <c r="H104" s="236"/>
      <c r="I104" s="149">
        <f>IF(D17="Latch-off", "Latch-off", D87)</f>
        <v>103.21332</v>
      </c>
      <c r="J104" s="194" t="s">
        <v>5</v>
      </c>
      <c r="Q104" s="5"/>
      <c r="S104" s="1"/>
    </row>
    <row r="105" spans="2:19" ht="18" customHeight="1" x14ac:dyDescent="0.25">
      <c r="B105" s="193"/>
      <c r="D105" s="147" t="s">
        <v>179</v>
      </c>
      <c r="E105" s="146">
        <f>IF(D17="Latch-off", "Short to Gnd", D86)</f>
        <v>2.2000000000000002</v>
      </c>
      <c r="F105" s="32" t="s">
        <v>8</v>
      </c>
      <c r="G105" s="235" t="s">
        <v>161</v>
      </c>
      <c r="H105" s="236"/>
      <c r="I105" s="149">
        <f>IF(D17="Latch-off", 0, D90)</f>
        <v>4</v>
      </c>
      <c r="J105" s="194"/>
      <c r="Q105" s="5"/>
      <c r="S105" s="1"/>
    </row>
    <row r="106" spans="2:19" ht="18" customHeight="1" x14ac:dyDescent="0.25">
      <c r="B106" s="193"/>
      <c r="D106" s="147" t="s">
        <v>180</v>
      </c>
      <c r="E106" s="146">
        <f>D89</f>
        <v>1.8</v>
      </c>
      <c r="F106" s="32" t="s">
        <v>8</v>
      </c>
      <c r="G106" s="237"/>
      <c r="H106" s="238"/>
      <c r="I106" s="149"/>
      <c r="J106" s="194"/>
      <c r="Q106" s="5"/>
      <c r="S106" s="1"/>
    </row>
    <row r="107" spans="2:19" ht="18" customHeight="1" x14ac:dyDescent="0.25">
      <c r="B107" s="193"/>
      <c r="D107" s="147"/>
      <c r="E107" s="144"/>
      <c r="F107" s="32"/>
      <c r="G107" s="233" t="s">
        <v>212</v>
      </c>
      <c r="H107" s="234"/>
      <c r="I107" s="150">
        <f>D34</f>
        <v>14.742503071959904</v>
      </c>
      <c r="J107" s="88" t="s">
        <v>6</v>
      </c>
      <c r="Q107" s="5"/>
      <c r="S107" s="1"/>
    </row>
    <row r="108" spans="2:19" ht="18" customHeight="1" x14ac:dyDescent="0.25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65" customHeight="1" x14ac:dyDescent="0.25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65" customHeight="1" x14ac:dyDescent="0.25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25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25">
      <c r="E112" s="32"/>
    </row>
    <row r="113" spans="2:6" ht="18" customHeight="1" x14ac:dyDescent="0.25">
      <c r="B113" s="33" t="s">
        <v>20</v>
      </c>
      <c r="D113" s="4"/>
    </row>
    <row r="114" spans="2:6" ht="18" customHeight="1" x14ac:dyDescent="0.25">
      <c r="B114" s="72" t="s">
        <v>38</v>
      </c>
      <c r="D114" s="4"/>
    </row>
    <row r="115" spans="2:6" ht="18" customHeight="1" x14ac:dyDescent="0.25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25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25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25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25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25">
      <c r="B120" s="72" t="s">
        <v>37</v>
      </c>
      <c r="D120" s="4"/>
    </row>
    <row r="121" spans="2:6" ht="18" customHeight="1" x14ac:dyDescent="0.25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25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25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25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25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25">
      <c r="B126" s="72" t="s">
        <v>207</v>
      </c>
      <c r="D126" s="4"/>
    </row>
    <row r="127" spans="2:6" ht="18" customHeight="1" x14ac:dyDescent="0.25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25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25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25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25">
      <c r="B131" s="72" t="s">
        <v>208</v>
      </c>
      <c r="C131" s="1"/>
      <c r="D131" s="1"/>
      <c r="F131" s="1"/>
      <c r="G131" s="1"/>
    </row>
    <row r="132" spans="2:7" ht="18" customHeight="1" x14ac:dyDescent="0.25">
      <c r="B132" s="24" t="s">
        <v>205</v>
      </c>
      <c r="C132" s="24" t="s">
        <v>206</v>
      </c>
      <c r="D132" s="24">
        <f>(0.0663*Cdvdt_ext/3.3)*Vcc_nom+1.3153</f>
        <v>3.292245454545454</v>
      </c>
      <c r="E132" s="24" t="s">
        <v>5</v>
      </c>
      <c r="F132" s="24"/>
    </row>
    <row r="133" spans="2:7" ht="18" customHeight="1" x14ac:dyDescent="0.25">
      <c r="B133" s="24" t="s">
        <v>209</v>
      </c>
      <c r="C133" s="24" t="s">
        <v>210</v>
      </c>
      <c r="D133" s="24">
        <f>D132+(Cdvdt_ext*(Vcc_nom+3.6)/D130)</f>
        <v>30.166195034377385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I100:I101"/>
    <mergeCell ref="J100:J101"/>
    <mergeCell ref="G102:H103"/>
    <mergeCell ref="I102:I103"/>
    <mergeCell ref="J102:J103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G107:H107"/>
    <mergeCell ref="G105:H105"/>
    <mergeCell ref="G106:H106"/>
    <mergeCell ref="G97:H97"/>
    <mergeCell ref="G98:H98"/>
    <mergeCell ref="G99:H99"/>
    <mergeCell ref="G100:H101"/>
    <mergeCell ref="G104:H104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400050</xdr:colOff>
                <xdr:row>96</xdr:row>
                <xdr:rowOff>19050</xdr:rowOff>
              </from>
              <to>
                <xdr:col>2</xdr:col>
                <xdr:colOff>3933825</xdr:colOff>
                <xdr:row>105</xdr:row>
                <xdr:rowOff>19050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T25"/>
  <sheetViews>
    <sheetView workbookViewId="0">
      <selection activeCell="E33" sqref="E33"/>
    </sheetView>
  </sheetViews>
  <sheetFormatPr defaultRowHeight="15" x14ac:dyDescent="0.25"/>
  <sheetData>
    <row r="1" spans="1:20" ht="30" x14ac:dyDescent="0.25">
      <c r="A1" s="5" t="s">
        <v>244</v>
      </c>
      <c r="B1" s="205" t="s">
        <v>245</v>
      </c>
      <c r="C1" s="206" t="s">
        <v>246</v>
      </c>
      <c r="D1" t="s">
        <v>247</v>
      </c>
      <c r="P1" s="207"/>
      <c r="Q1" s="208"/>
      <c r="R1" s="208"/>
      <c r="S1" s="208"/>
      <c r="T1" s="7"/>
    </row>
    <row r="2" spans="1:20" x14ac:dyDescent="0.25">
      <c r="A2">
        <v>5.65</v>
      </c>
      <c r="B2">
        <v>29.4</v>
      </c>
      <c r="C2">
        <v>5.95</v>
      </c>
      <c r="D2">
        <v>52.4</v>
      </c>
      <c r="P2" s="208"/>
      <c r="Q2" s="208"/>
      <c r="R2" s="208"/>
      <c r="S2" s="208"/>
      <c r="T2" s="208"/>
    </row>
    <row r="3" spans="1:20" x14ac:dyDescent="0.25">
      <c r="A3">
        <v>6.06</v>
      </c>
      <c r="B3">
        <v>25.8</v>
      </c>
      <c r="C3">
        <v>6.48</v>
      </c>
      <c r="D3">
        <v>43.97</v>
      </c>
      <c r="P3" s="213"/>
      <c r="Q3" s="209"/>
      <c r="R3" s="210"/>
      <c r="S3" s="210"/>
      <c r="T3" s="212"/>
    </row>
    <row r="4" spans="1:20" x14ac:dyDescent="0.25">
      <c r="A4">
        <v>6.69</v>
      </c>
      <c r="B4">
        <v>21.9</v>
      </c>
      <c r="C4">
        <v>7.34</v>
      </c>
      <c r="D4">
        <v>34.799999999999997</v>
      </c>
      <c r="P4" s="213"/>
      <c r="Q4" s="211"/>
      <c r="R4" s="7"/>
      <c r="S4" s="212"/>
      <c r="T4" s="212"/>
    </row>
    <row r="5" spans="1:20" x14ac:dyDescent="0.25">
      <c r="A5">
        <v>7.2</v>
      </c>
      <c r="B5">
        <v>18.7</v>
      </c>
      <c r="C5">
        <v>8.0190000000000001</v>
      </c>
      <c r="D5">
        <v>29.16</v>
      </c>
      <c r="P5" s="213"/>
      <c r="Q5" s="211"/>
      <c r="R5" s="7"/>
      <c r="S5" s="212"/>
      <c r="T5" s="212"/>
    </row>
    <row r="6" spans="1:20" x14ac:dyDescent="0.25">
      <c r="A6">
        <v>7.984</v>
      </c>
      <c r="B6">
        <v>15.8</v>
      </c>
      <c r="C6">
        <v>8.5790000000000006</v>
      </c>
      <c r="D6">
        <v>26</v>
      </c>
      <c r="P6" s="213"/>
      <c r="Q6" s="211"/>
      <c r="R6" s="211"/>
      <c r="S6" s="212"/>
      <c r="T6" s="212"/>
    </row>
    <row r="7" spans="1:20" x14ac:dyDescent="0.25">
      <c r="A7">
        <v>8.923</v>
      </c>
      <c r="B7">
        <v>12.983000000000001</v>
      </c>
      <c r="C7">
        <v>9.2799999999999994</v>
      </c>
      <c r="D7">
        <v>22.77</v>
      </c>
      <c r="P7" s="7"/>
      <c r="Q7" s="212"/>
      <c r="R7" s="211"/>
      <c r="S7" s="212"/>
      <c r="T7" s="212"/>
    </row>
    <row r="8" spans="1:20" x14ac:dyDescent="0.25">
      <c r="A8">
        <v>9.5</v>
      </c>
      <c r="B8">
        <v>11.64</v>
      </c>
      <c r="C8">
        <v>10</v>
      </c>
      <c r="D8">
        <v>20.010000000000002</v>
      </c>
      <c r="P8" s="7"/>
      <c r="Q8" s="212"/>
      <c r="R8" s="211"/>
      <c r="S8" s="212"/>
      <c r="T8" s="212"/>
    </row>
    <row r="9" spans="1:20" x14ac:dyDescent="0.25">
      <c r="A9">
        <v>10.16</v>
      </c>
      <c r="B9">
        <v>10.45</v>
      </c>
      <c r="C9">
        <v>10.64</v>
      </c>
      <c r="D9">
        <v>17.760000000000002</v>
      </c>
      <c r="P9" s="7"/>
      <c r="Q9" s="212"/>
      <c r="R9" s="211"/>
      <c r="S9" s="212"/>
      <c r="T9" s="212"/>
    </row>
    <row r="10" spans="1:20" x14ac:dyDescent="0.25">
      <c r="A10">
        <v>12.9</v>
      </c>
      <c r="B10">
        <v>6.76</v>
      </c>
      <c r="C10">
        <v>11.63</v>
      </c>
      <c r="D10">
        <v>15.5</v>
      </c>
      <c r="P10" s="7"/>
      <c r="Q10" s="212"/>
      <c r="R10" s="211"/>
      <c r="S10" s="212"/>
      <c r="T10" s="212"/>
    </row>
    <row r="11" spans="1:20" x14ac:dyDescent="0.25">
      <c r="A11">
        <v>16.579999999999998</v>
      </c>
      <c r="B11">
        <v>4.28</v>
      </c>
      <c r="C11">
        <v>28.8</v>
      </c>
      <c r="D11">
        <v>2.1339999999999999</v>
      </c>
      <c r="P11" s="7"/>
      <c r="Q11" s="212"/>
      <c r="R11" s="211"/>
      <c r="S11" s="212"/>
      <c r="T11" s="212"/>
    </row>
    <row r="12" spans="1:20" x14ac:dyDescent="0.25">
      <c r="A12">
        <v>20.170000000000002</v>
      </c>
      <c r="B12">
        <v>2.85</v>
      </c>
      <c r="C12">
        <v>30.3</v>
      </c>
      <c r="D12">
        <v>1.87</v>
      </c>
      <c r="P12" s="7"/>
      <c r="Q12" s="212"/>
      <c r="R12" s="211"/>
      <c r="S12" s="212"/>
      <c r="T12" s="212"/>
    </row>
    <row r="13" spans="1:20" x14ac:dyDescent="0.25">
      <c r="A13">
        <v>23.5</v>
      </c>
      <c r="B13">
        <v>2.1749999999999998</v>
      </c>
      <c r="C13">
        <v>31.67</v>
      </c>
      <c r="D13">
        <v>1.67</v>
      </c>
      <c r="P13" s="7"/>
      <c r="Q13" s="212"/>
      <c r="R13" s="211"/>
      <c r="S13" s="212"/>
      <c r="T13" s="212"/>
    </row>
    <row r="14" spans="1:20" x14ac:dyDescent="0.25">
      <c r="A14">
        <v>28</v>
      </c>
      <c r="B14">
        <v>1.22</v>
      </c>
      <c r="C14">
        <v>35.5</v>
      </c>
      <c r="D14">
        <v>1.44</v>
      </c>
      <c r="P14" s="7"/>
      <c r="Q14" s="212"/>
      <c r="R14" s="211"/>
      <c r="S14" s="212"/>
      <c r="T14" s="212"/>
    </row>
    <row r="15" spans="1:20" x14ac:dyDescent="0.25">
      <c r="A15">
        <v>30.8</v>
      </c>
      <c r="B15">
        <v>1.08</v>
      </c>
      <c r="C15">
        <v>36.200000000000003</v>
      </c>
      <c r="D15">
        <v>1.42</v>
      </c>
      <c r="P15" s="7"/>
      <c r="Q15" s="212"/>
      <c r="R15" s="211"/>
      <c r="S15" s="212"/>
      <c r="T15" s="212"/>
    </row>
    <row r="16" spans="1:20" x14ac:dyDescent="0.25">
      <c r="A16">
        <v>34.22</v>
      </c>
      <c r="B16">
        <v>0.98</v>
      </c>
      <c r="C16">
        <v>36.65</v>
      </c>
      <c r="D16">
        <v>1.329</v>
      </c>
      <c r="P16" s="7"/>
      <c r="Q16" s="212"/>
      <c r="R16" s="211"/>
      <c r="S16" s="212"/>
      <c r="T16" s="212"/>
    </row>
    <row r="17" spans="1:20" x14ac:dyDescent="0.25">
      <c r="A17">
        <v>40.5</v>
      </c>
      <c r="B17">
        <v>0.80600000000000005</v>
      </c>
      <c r="C17">
        <v>42.92</v>
      </c>
      <c r="D17">
        <v>1.147</v>
      </c>
      <c r="P17" s="7"/>
      <c r="Q17" s="212"/>
      <c r="R17" s="211"/>
      <c r="S17" s="212"/>
      <c r="T17" s="212"/>
    </row>
    <row r="18" spans="1:20" x14ac:dyDescent="0.25">
      <c r="A18">
        <v>42.7</v>
      </c>
      <c r="B18">
        <v>0.79600000000000004</v>
      </c>
      <c r="C18">
        <v>44</v>
      </c>
      <c r="D18">
        <v>1.1000000000000001</v>
      </c>
      <c r="P18" s="7"/>
      <c r="Q18" s="212"/>
      <c r="R18" s="211"/>
      <c r="S18" s="212"/>
      <c r="T18" s="212"/>
    </row>
    <row r="19" spans="1:20" x14ac:dyDescent="0.25">
      <c r="A19">
        <v>47.9</v>
      </c>
      <c r="B19">
        <v>0.73</v>
      </c>
      <c r="C19">
        <v>45.7</v>
      </c>
      <c r="D19">
        <v>1.06</v>
      </c>
      <c r="P19" s="7"/>
      <c r="Q19" s="212"/>
      <c r="R19" s="211"/>
      <c r="S19" s="212"/>
      <c r="T19" s="212"/>
    </row>
    <row r="20" spans="1:20" x14ac:dyDescent="0.25">
      <c r="A20">
        <v>52.6</v>
      </c>
      <c r="B20">
        <v>0.68500000000000005</v>
      </c>
      <c r="C20">
        <v>52.24</v>
      </c>
      <c r="D20">
        <v>0.94099999999999995</v>
      </c>
      <c r="P20" s="7"/>
      <c r="Q20" s="212"/>
      <c r="R20" s="211"/>
      <c r="S20" s="212"/>
      <c r="T20" s="212"/>
    </row>
    <row r="21" spans="1:20" x14ac:dyDescent="0.25">
      <c r="A21">
        <v>57.8</v>
      </c>
      <c r="B21">
        <v>0.65200000000000002</v>
      </c>
      <c r="C21">
        <v>54.54</v>
      </c>
      <c r="D21">
        <v>0.9</v>
      </c>
      <c r="P21" s="7"/>
      <c r="Q21" s="212"/>
      <c r="R21" s="211"/>
      <c r="S21" s="212"/>
      <c r="T21" s="212"/>
    </row>
    <row r="22" spans="1:20" x14ac:dyDescent="0.25">
      <c r="A22">
        <v>59.57</v>
      </c>
      <c r="B22">
        <v>0.65</v>
      </c>
      <c r="C22" s="205"/>
      <c r="D22" s="205"/>
      <c r="P22" s="7"/>
      <c r="Q22" s="212"/>
      <c r="R22" s="211"/>
      <c r="S22" s="212"/>
      <c r="T22" s="212"/>
    </row>
    <row r="23" spans="1:20" x14ac:dyDescent="0.25">
      <c r="A23">
        <v>71</v>
      </c>
      <c r="B23">
        <v>0.55200000000000005</v>
      </c>
      <c r="C23" s="205"/>
      <c r="D23" s="205"/>
      <c r="P23" s="7"/>
      <c r="Q23" s="212"/>
      <c r="R23" s="211"/>
      <c r="S23" s="212"/>
      <c r="T23" s="212"/>
    </row>
    <row r="24" spans="1:20" x14ac:dyDescent="0.25">
      <c r="A24">
        <v>72.180000000000007</v>
      </c>
      <c r="B24">
        <v>0.55100000000000005</v>
      </c>
      <c r="C24" s="205"/>
      <c r="D24" s="205"/>
      <c r="P24" s="7"/>
      <c r="Q24" s="212"/>
      <c r="R24" s="211"/>
      <c r="S24" s="212"/>
      <c r="T24" s="212"/>
    </row>
    <row r="25" spans="1:20" x14ac:dyDescent="0.25">
      <c r="P25" s="7"/>
      <c r="Q25" s="212"/>
      <c r="R25" s="211"/>
      <c r="S25" s="212"/>
      <c r="T25" s="2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5" x14ac:dyDescent="0.25"/>
  <cols>
    <col min="1" max="6" width="18.7109375" customWidth="1"/>
    <col min="257" max="262" width="18.7109375" customWidth="1"/>
    <col min="513" max="518" width="18.7109375" customWidth="1"/>
    <col min="769" max="774" width="18.7109375" customWidth="1"/>
    <col min="1025" max="1030" width="18.7109375" customWidth="1"/>
    <col min="1281" max="1286" width="18.7109375" customWidth="1"/>
    <col min="1537" max="1542" width="18.7109375" customWidth="1"/>
    <col min="1793" max="1798" width="18.7109375" customWidth="1"/>
    <col min="2049" max="2054" width="18.7109375" customWidth="1"/>
    <col min="2305" max="2310" width="18.7109375" customWidth="1"/>
    <col min="2561" max="2566" width="18.7109375" customWidth="1"/>
    <col min="2817" max="2822" width="18.7109375" customWidth="1"/>
    <col min="3073" max="3078" width="18.7109375" customWidth="1"/>
    <col min="3329" max="3334" width="18.7109375" customWidth="1"/>
    <col min="3585" max="3590" width="18.7109375" customWidth="1"/>
    <col min="3841" max="3846" width="18.7109375" customWidth="1"/>
    <col min="4097" max="4102" width="18.7109375" customWidth="1"/>
    <col min="4353" max="4358" width="18.7109375" customWidth="1"/>
    <col min="4609" max="4614" width="18.7109375" customWidth="1"/>
    <col min="4865" max="4870" width="18.7109375" customWidth="1"/>
    <col min="5121" max="5126" width="18.7109375" customWidth="1"/>
    <col min="5377" max="5382" width="18.7109375" customWidth="1"/>
    <col min="5633" max="5638" width="18.7109375" customWidth="1"/>
    <col min="5889" max="5894" width="18.7109375" customWidth="1"/>
    <col min="6145" max="6150" width="18.7109375" customWidth="1"/>
    <col min="6401" max="6406" width="18.7109375" customWidth="1"/>
    <col min="6657" max="6662" width="18.7109375" customWidth="1"/>
    <col min="6913" max="6918" width="18.7109375" customWidth="1"/>
    <col min="7169" max="7174" width="18.7109375" customWidth="1"/>
    <col min="7425" max="7430" width="18.7109375" customWidth="1"/>
    <col min="7681" max="7686" width="18.7109375" customWidth="1"/>
    <col min="7937" max="7942" width="18.7109375" customWidth="1"/>
    <col min="8193" max="8198" width="18.7109375" customWidth="1"/>
    <col min="8449" max="8454" width="18.7109375" customWidth="1"/>
    <col min="8705" max="8710" width="18.7109375" customWidth="1"/>
    <col min="8961" max="8966" width="18.7109375" customWidth="1"/>
    <col min="9217" max="9222" width="18.7109375" customWidth="1"/>
    <col min="9473" max="9478" width="18.7109375" customWidth="1"/>
    <col min="9729" max="9734" width="18.7109375" customWidth="1"/>
    <col min="9985" max="9990" width="18.7109375" customWidth="1"/>
    <col min="10241" max="10246" width="18.7109375" customWidth="1"/>
    <col min="10497" max="10502" width="18.7109375" customWidth="1"/>
    <col min="10753" max="10758" width="18.7109375" customWidth="1"/>
    <col min="11009" max="11014" width="18.7109375" customWidth="1"/>
    <col min="11265" max="11270" width="18.7109375" customWidth="1"/>
    <col min="11521" max="11526" width="18.7109375" customWidth="1"/>
    <col min="11777" max="11782" width="18.7109375" customWidth="1"/>
    <col min="12033" max="12038" width="18.7109375" customWidth="1"/>
    <col min="12289" max="12294" width="18.7109375" customWidth="1"/>
    <col min="12545" max="12550" width="18.7109375" customWidth="1"/>
    <col min="12801" max="12806" width="18.7109375" customWidth="1"/>
    <col min="13057" max="13062" width="18.7109375" customWidth="1"/>
    <col min="13313" max="13318" width="18.7109375" customWidth="1"/>
    <col min="13569" max="13574" width="18.7109375" customWidth="1"/>
    <col min="13825" max="13830" width="18.7109375" customWidth="1"/>
    <col min="14081" max="14086" width="18.7109375" customWidth="1"/>
    <col min="14337" max="14342" width="18.7109375" customWidth="1"/>
    <col min="14593" max="14598" width="18.7109375" customWidth="1"/>
    <col min="14849" max="14854" width="18.7109375" customWidth="1"/>
    <col min="15105" max="15110" width="18.7109375" customWidth="1"/>
    <col min="15361" max="15366" width="18.7109375" customWidth="1"/>
    <col min="15617" max="15622" width="18.7109375" customWidth="1"/>
    <col min="15873" max="15878" width="18.7109375" customWidth="1"/>
    <col min="16129" max="16134" width="18.7109375" customWidth="1"/>
  </cols>
  <sheetData>
    <row r="1" spans="1:9" ht="21" x14ac:dyDescent="0.35">
      <c r="A1" s="272" t="s">
        <v>62</v>
      </c>
      <c r="B1" s="272"/>
      <c r="C1" s="272"/>
      <c r="D1" s="272"/>
      <c r="E1" s="272"/>
      <c r="F1" s="272"/>
    </row>
    <row r="3" spans="1:9" x14ac:dyDescent="0.25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25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25">
      <c r="A5" s="271">
        <v>100</v>
      </c>
      <c r="B5" s="269">
        <v>100</v>
      </c>
      <c r="C5" s="270">
        <v>100</v>
      </c>
      <c r="D5" s="268">
        <v>100</v>
      </c>
      <c r="E5" s="267">
        <v>100</v>
      </c>
      <c r="F5" s="9">
        <v>100</v>
      </c>
    </row>
    <row r="6" spans="1:9" x14ac:dyDescent="0.25">
      <c r="A6" s="271"/>
      <c r="B6" s="269"/>
      <c r="C6" s="270"/>
      <c r="D6" s="268"/>
      <c r="E6" s="267"/>
      <c r="F6" s="9">
        <v>101</v>
      </c>
    </row>
    <row r="7" spans="1:9" x14ac:dyDescent="0.25">
      <c r="A7" s="271"/>
      <c r="B7" s="269"/>
      <c r="C7" s="270"/>
      <c r="D7" s="268"/>
      <c r="E7" s="267">
        <v>102</v>
      </c>
      <c r="F7" s="9">
        <v>102</v>
      </c>
    </row>
    <row r="8" spans="1:9" x14ac:dyDescent="0.25">
      <c r="A8" s="271"/>
      <c r="B8" s="269"/>
      <c r="C8" s="270"/>
      <c r="D8" s="268"/>
      <c r="E8" s="267"/>
      <c r="F8" s="9">
        <v>104</v>
      </c>
    </row>
    <row r="9" spans="1:9" x14ac:dyDescent="0.25">
      <c r="A9" s="271"/>
      <c r="B9" s="269"/>
      <c r="C9" s="270"/>
      <c r="D9" s="268">
        <v>105</v>
      </c>
      <c r="E9" s="267">
        <v>105</v>
      </c>
      <c r="F9" s="9">
        <v>105</v>
      </c>
    </row>
    <row r="10" spans="1:9" x14ac:dyDescent="0.25">
      <c r="A10" s="271"/>
      <c r="B10" s="269"/>
      <c r="C10" s="270"/>
      <c r="D10" s="268"/>
      <c r="E10" s="267"/>
      <c r="F10" s="9">
        <v>106</v>
      </c>
      <c r="I10" s="2"/>
    </row>
    <row r="11" spans="1:9" x14ac:dyDescent="0.25">
      <c r="A11" s="271"/>
      <c r="B11" s="269"/>
      <c r="C11" s="270"/>
      <c r="D11" s="268"/>
      <c r="E11" s="267">
        <v>107</v>
      </c>
      <c r="F11" s="9">
        <v>107</v>
      </c>
    </row>
    <row r="12" spans="1:9" x14ac:dyDescent="0.25">
      <c r="A12" s="271"/>
      <c r="B12" s="269"/>
      <c r="C12" s="270"/>
      <c r="D12" s="268"/>
      <c r="E12" s="267"/>
      <c r="F12" s="9">
        <v>109</v>
      </c>
    </row>
    <row r="13" spans="1:9" x14ac:dyDescent="0.25">
      <c r="A13" s="271"/>
      <c r="B13" s="269"/>
      <c r="C13" s="270">
        <v>110</v>
      </c>
      <c r="D13" s="268">
        <v>110</v>
      </c>
      <c r="E13" s="267">
        <v>110</v>
      </c>
      <c r="F13" s="9">
        <v>110</v>
      </c>
    </row>
    <row r="14" spans="1:9" x14ac:dyDescent="0.25">
      <c r="A14" s="271"/>
      <c r="B14" s="269"/>
      <c r="C14" s="270"/>
      <c r="D14" s="268"/>
      <c r="E14" s="267"/>
      <c r="F14" s="9">
        <v>111</v>
      </c>
    </row>
    <row r="15" spans="1:9" x14ac:dyDescent="0.25">
      <c r="A15" s="271"/>
      <c r="B15" s="269"/>
      <c r="C15" s="270"/>
      <c r="D15" s="268"/>
      <c r="E15" s="267">
        <v>113</v>
      </c>
      <c r="F15" s="9">
        <v>113</v>
      </c>
    </row>
    <row r="16" spans="1:9" x14ac:dyDescent="0.25">
      <c r="A16" s="271"/>
      <c r="B16" s="269"/>
      <c r="C16" s="270"/>
      <c r="D16" s="268"/>
      <c r="E16" s="267"/>
      <c r="F16" s="9">
        <v>114</v>
      </c>
    </row>
    <row r="17" spans="1:6" x14ac:dyDescent="0.25">
      <c r="A17" s="271"/>
      <c r="B17" s="269"/>
      <c r="C17" s="270"/>
      <c r="D17" s="268">
        <v>115</v>
      </c>
      <c r="E17" s="267">
        <v>115</v>
      </c>
      <c r="F17" s="9">
        <v>115</v>
      </c>
    </row>
    <row r="18" spans="1:6" x14ac:dyDescent="0.25">
      <c r="A18" s="271"/>
      <c r="B18" s="269"/>
      <c r="C18" s="270"/>
      <c r="D18" s="268"/>
      <c r="E18" s="267"/>
      <c r="F18" s="9">
        <v>117</v>
      </c>
    </row>
    <row r="19" spans="1:6" x14ac:dyDescent="0.25">
      <c r="A19" s="271"/>
      <c r="B19" s="269"/>
      <c r="C19" s="270"/>
      <c r="D19" s="268"/>
      <c r="E19" s="267">
        <v>118</v>
      </c>
      <c r="F19" s="9">
        <v>118</v>
      </c>
    </row>
    <row r="20" spans="1:6" x14ac:dyDescent="0.25">
      <c r="A20" s="271"/>
      <c r="B20" s="269"/>
      <c r="C20" s="270"/>
      <c r="D20" s="268"/>
      <c r="E20" s="267"/>
      <c r="F20" s="9">
        <v>120</v>
      </c>
    </row>
    <row r="21" spans="1:6" x14ac:dyDescent="0.25">
      <c r="A21" s="271"/>
      <c r="B21" s="269">
        <v>120</v>
      </c>
      <c r="C21" s="270">
        <v>120</v>
      </c>
      <c r="D21" s="268">
        <v>121</v>
      </c>
      <c r="E21" s="267">
        <v>121</v>
      </c>
      <c r="F21" s="9">
        <v>121</v>
      </c>
    </row>
    <row r="22" spans="1:6" x14ac:dyDescent="0.25">
      <c r="A22" s="271"/>
      <c r="B22" s="269"/>
      <c r="C22" s="270"/>
      <c r="D22" s="268"/>
      <c r="E22" s="267"/>
      <c r="F22" s="9">
        <v>123</v>
      </c>
    </row>
    <row r="23" spans="1:6" x14ac:dyDescent="0.25">
      <c r="A23" s="271"/>
      <c r="B23" s="269"/>
      <c r="C23" s="270"/>
      <c r="D23" s="268"/>
      <c r="E23" s="267">
        <v>124</v>
      </c>
      <c r="F23" s="9">
        <v>124</v>
      </c>
    </row>
    <row r="24" spans="1:6" x14ac:dyDescent="0.25">
      <c r="A24" s="271"/>
      <c r="B24" s="269"/>
      <c r="C24" s="270"/>
      <c r="D24" s="268"/>
      <c r="E24" s="267"/>
      <c r="F24" s="9">
        <v>126</v>
      </c>
    </row>
    <row r="25" spans="1:6" x14ac:dyDescent="0.25">
      <c r="A25" s="271"/>
      <c r="B25" s="269"/>
      <c r="C25" s="270"/>
      <c r="D25" s="268">
        <v>127</v>
      </c>
      <c r="E25" s="267">
        <v>127</v>
      </c>
      <c r="F25" s="9">
        <v>127</v>
      </c>
    </row>
    <row r="26" spans="1:6" x14ac:dyDescent="0.25">
      <c r="A26" s="271"/>
      <c r="B26" s="269"/>
      <c r="C26" s="270"/>
      <c r="D26" s="268"/>
      <c r="E26" s="267"/>
      <c r="F26" s="9">
        <v>129</v>
      </c>
    </row>
    <row r="27" spans="1:6" x14ac:dyDescent="0.25">
      <c r="A27" s="271"/>
      <c r="B27" s="269"/>
      <c r="C27" s="270"/>
      <c r="D27" s="268"/>
      <c r="E27" s="267">
        <v>130</v>
      </c>
      <c r="F27" s="9">
        <v>130</v>
      </c>
    </row>
    <row r="28" spans="1:6" x14ac:dyDescent="0.25">
      <c r="A28" s="271"/>
      <c r="B28" s="269"/>
      <c r="C28" s="270"/>
      <c r="D28" s="268"/>
      <c r="E28" s="267"/>
      <c r="F28" s="9">
        <v>132</v>
      </c>
    </row>
    <row r="29" spans="1:6" x14ac:dyDescent="0.25">
      <c r="A29" s="271"/>
      <c r="B29" s="269"/>
      <c r="C29" s="270">
        <v>130</v>
      </c>
      <c r="D29" s="268">
        <v>133</v>
      </c>
      <c r="E29" s="267">
        <v>133</v>
      </c>
      <c r="F29" s="9">
        <v>133</v>
      </c>
    </row>
    <row r="30" spans="1:6" x14ac:dyDescent="0.25">
      <c r="A30" s="271"/>
      <c r="B30" s="269"/>
      <c r="C30" s="270"/>
      <c r="D30" s="268"/>
      <c r="E30" s="267"/>
      <c r="F30" s="9">
        <v>135</v>
      </c>
    </row>
    <row r="31" spans="1:6" x14ac:dyDescent="0.25">
      <c r="A31" s="271"/>
      <c r="B31" s="269"/>
      <c r="C31" s="270"/>
      <c r="D31" s="268"/>
      <c r="E31" s="267">
        <v>137</v>
      </c>
      <c r="F31" s="9">
        <v>137</v>
      </c>
    </row>
    <row r="32" spans="1:6" x14ac:dyDescent="0.25">
      <c r="A32" s="271"/>
      <c r="B32" s="269"/>
      <c r="C32" s="270"/>
      <c r="D32" s="268"/>
      <c r="E32" s="267"/>
      <c r="F32" s="9">
        <v>138</v>
      </c>
    </row>
    <row r="33" spans="1:6" x14ac:dyDescent="0.25">
      <c r="A33" s="271"/>
      <c r="B33" s="269"/>
      <c r="C33" s="270"/>
      <c r="D33" s="268">
        <v>140</v>
      </c>
      <c r="E33" s="267">
        <v>140</v>
      </c>
      <c r="F33" s="9">
        <v>140</v>
      </c>
    </row>
    <row r="34" spans="1:6" x14ac:dyDescent="0.25">
      <c r="A34" s="271"/>
      <c r="B34" s="269"/>
      <c r="C34" s="270"/>
      <c r="D34" s="268"/>
      <c r="E34" s="267"/>
      <c r="F34" s="9">
        <v>142</v>
      </c>
    </row>
    <row r="35" spans="1:6" x14ac:dyDescent="0.25">
      <c r="A35" s="271"/>
      <c r="B35" s="269"/>
      <c r="C35" s="270"/>
      <c r="D35" s="268"/>
      <c r="E35" s="267">
        <v>143</v>
      </c>
      <c r="F35" s="9">
        <v>143</v>
      </c>
    </row>
    <row r="36" spans="1:6" x14ac:dyDescent="0.25">
      <c r="A36" s="271"/>
      <c r="B36" s="269"/>
      <c r="C36" s="270"/>
      <c r="D36" s="268"/>
      <c r="E36" s="267"/>
      <c r="F36" s="9">
        <v>145</v>
      </c>
    </row>
    <row r="37" spans="1:6" x14ac:dyDescent="0.25">
      <c r="A37" s="271">
        <v>150</v>
      </c>
      <c r="B37" s="269">
        <v>150</v>
      </c>
      <c r="C37" s="270">
        <v>150</v>
      </c>
      <c r="D37" s="268">
        <v>147</v>
      </c>
      <c r="E37" s="267">
        <v>147</v>
      </c>
      <c r="F37" s="9">
        <v>147</v>
      </c>
    </row>
    <row r="38" spans="1:6" x14ac:dyDescent="0.25">
      <c r="A38" s="271"/>
      <c r="B38" s="269"/>
      <c r="C38" s="270"/>
      <c r="D38" s="268"/>
      <c r="E38" s="267"/>
      <c r="F38" s="9">
        <v>149</v>
      </c>
    </row>
    <row r="39" spans="1:6" x14ac:dyDescent="0.25">
      <c r="A39" s="271"/>
      <c r="B39" s="269"/>
      <c r="C39" s="270"/>
      <c r="D39" s="268"/>
      <c r="E39" s="267">
        <v>150</v>
      </c>
      <c r="F39" s="9">
        <v>150</v>
      </c>
    </row>
    <row r="40" spans="1:6" x14ac:dyDescent="0.25">
      <c r="A40" s="271"/>
      <c r="B40" s="269"/>
      <c r="C40" s="270"/>
      <c r="D40" s="268"/>
      <c r="E40" s="267"/>
      <c r="F40" s="9">
        <v>152</v>
      </c>
    </row>
    <row r="41" spans="1:6" x14ac:dyDescent="0.25">
      <c r="A41" s="271"/>
      <c r="B41" s="269"/>
      <c r="C41" s="270"/>
      <c r="D41" s="268">
        <v>154</v>
      </c>
      <c r="E41" s="267">
        <v>154</v>
      </c>
      <c r="F41" s="9">
        <v>154</v>
      </c>
    </row>
    <row r="42" spans="1:6" x14ac:dyDescent="0.25">
      <c r="A42" s="271"/>
      <c r="B42" s="269"/>
      <c r="C42" s="270"/>
      <c r="D42" s="268"/>
      <c r="E42" s="267"/>
      <c r="F42" s="9">
        <v>156</v>
      </c>
    </row>
    <row r="43" spans="1:6" x14ac:dyDescent="0.25">
      <c r="A43" s="271"/>
      <c r="B43" s="269"/>
      <c r="C43" s="270"/>
      <c r="D43" s="268"/>
      <c r="E43" s="267">
        <v>158</v>
      </c>
      <c r="F43" s="9">
        <v>158</v>
      </c>
    </row>
    <row r="44" spans="1:6" x14ac:dyDescent="0.25">
      <c r="A44" s="271"/>
      <c r="B44" s="269"/>
      <c r="C44" s="270"/>
      <c r="D44" s="268"/>
      <c r="E44" s="267"/>
      <c r="F44" s="9">
        <v>160</v>
      </c>
    </row>
    <row r="45" spans="1:6" x14ac:dyDescent="0.25">
      <c r="A45" s="271"/>
      <c r="B45" s="269"/>
      <c r="C45" s="270">
        <v>160</v>
      </c>
      <c r="D45" s="268">
        <v>162</v>
      </c>
      <c r="E45" s="267">
        <v>162</v>
      </c>
      <c r="F45" s="9">
        <v>162</v>
      </c>
    </row>
    <row r="46" spans="1:6" x14ac:dyDescent="0.25">
      <c r="A46" s="271"/>
      <c r="B46" s="269"/>
      <c r="C46" s="270"/>
      <c r="D46" s="268"/>
      <c r="E46" s="267"/>
      <c r="F46" s="9">
        <v>164</v>
      </c>
    </row>
    <row r="47" spans="1:6" x14ac:dyDescent="0.25">
      <c r="A47" s="271"/>
      <c r="B47" s="269"/>
      <c r="C47" s="270"/>
      <c r="D47" s="268"/>
      <c r="E47" s="267">
        <v>165</v>
      </c>
      <c r="F47" s="9">
        <v>165</v>
      </c>
    </row>
    <row r="48" spans="1:6" x14ac:dyDescent="0.25">
      <c r="A48" s="271"/>
      <c r="B48" s="269"/>
      <c r="C48" s="270"/>
      <c r="D48" s="268"/>
      <c r="E48" s="267"/>
      <c r="F48" s="9">
        <v>167</v>
      </c>
    </row>
    <row r="49" spans="1:6" x14ac:dyDescent="0.25">
      <c r="A49" s="271"/>
      <c r="B49" s="269"/>
      <c r="C49" s="270"/>
      <c r="D49" s="268">
        <v>169</v>
      </c>
      <c r="E49" s="267">
        <v>169</v>
      </c>
      <c r="F49" s="9">
        <v>169</v>
      </c>
    </row>
    <row r="50" spans="1:6" x14ac:dyDescent="0.25">
      <c r="A50" s="271"/>
      <c r="B50" s="269"/>
      <c r="C50" s="270"/>
      <c r="D50" s="268"/>
      <c r="E50" s="267"/>
      <c r="F50" s="9">
        <v>172</v>
      </c>
    </row>
    <row r="51" spans="1:6" x14ac:dyDescent="0.25">
      <c r="A51" s="271"/>
      <c r="B51" s="269"/>
      <c r="C51" s="270"/>
      <c r="D51" s="268"/>
      <c r="E51" s="267">
        <v>174</v>
      </c>
      <c r="F51" s="9">
        <v>174</v>
      </c>
    </row>
    <row r="52" spans="1:6" x14ac:dyDescent="0.25">
      <c r="A52" s="271"/>
      <c r="B52" s="269"/>
      <c r="C52" s="270"/>
      <c r="D52" s="268"/>
      <c r="E52" s="267"/>
      <c r="F52" s="9">
        <v>176</v>
      </c>
    </row>
    <row r="53" spans="1:6" x14ac:dyDescent="0.25">
      <c r="A53" s="271"/>
      <c r="B53" s="269">
        <v>180</v>
      </c>
      <c r="C53" s="270">
        <v>180</v>
      </c>
      <c r="D53" s="268">
        <v>178</v>
      </c>
      <c r="E53" s="267">
        <v>178</v>
      </c>
      <c r="F53" s="9">
        <v>178</v>
      </c>
    </row>
    <row r="54" spans="1:6" x14ac:dyDescent="0.25">
      <c r="A54" s="271"/>
      <c r="B54" s="269"/>
      <c r="C54" s="270"/>
      <c r="D54" s="268"/>
      <c r="E54" s="267"/>
      <c r="F54" s="9">
        <v>180</v>
      </c>
    </row>
    <row r="55" spans="1:6" x14ac:dyDescent="0.25">
      <c r="A55" s="271"/>
      <c r="B55" s="269"/>
      <c r="C55" s="270"/>
      <c r="D55" s="268"/>
      <c r="E55" s="267">
        <v>182</v>
      </c>
      <c r="F55" s="9">
        <v>182</v>
      </c>
    </row>
    <row r="56" spans="1:6" x14ac:dyDescent="0.25">
      <c r="A56" s="271"/>
      <c r="B56" s="269"/>
      <c r="C56" s="270"/>
      <c r="D56" s="268"/>
      <c r="E56" s="267"/>
      <c r="F56" s="9">
        <v>184</v>
      </c>
    </row>
    <row r="57" spans="1:6" x14ac:dyDescent="0.25">
      <c r="A57" s="271"/>
      <c r="B57" s="269"/>
      <c r="C57" s="270"/>
      <c r="D57" s="268">
        <v>187</v>
      </c>
      <c r="E57" s="267">
        <v>187</v>
      </c>
      <c r="F57" s="9">
        <v>187</v>
      </c>
    </row>
    <row r="58" spans="1:6" x14ac:dyDescent="0.25">
      <c r="A58" s="271"/>
      <c r="B58" s="269"/>
      <c r="C58" s="270"/>
      <c r="D58" s="268"/>
      <c r="E58" s="267"/>
      <c r="F58" s="9">
        <v>189</v>
      </c>
    </row>
    <row r="59" spans="1:6" x14ac:dyDescent="0.25">
      <c r="A59" s="271"/>
      <c r="B59" s="269"/>
      <c r="C59" s="270"/>
      <c r="D59" s="268"/>
      <c r="E59" s="267">
        <v>191</v>
      </c>
      <c r="F59" s="9">
        <v>191</v>
      </c>
    </row>
    <row r="60" spans="1:6" x14ac:dyDescent="0.25">
      <c r="A60" s="271"/>
      <c r="B60" s="269"/>
      <c r="C60" s="270"/>
      <c r="D60" s="268"/>
      <c r="E60" s="267"/>
      <c r="F60" s="9">
        <v>193</v>
      </c>
    </row>
    <row r="61" spans="1:6" x14ac:dyDescent="0.25">
      <c r="A61" s="271"/>
      <c r="B61" s="269"/>
      <c r="C61" s="270">
        <v>200</v>
      </c>
      <c r="D61" s="268">
        <v>196</v>
      </c>
      <c r="E61" s="267">
        <v>196</v>
      </c>
      <c r="F61" s="9">
        <v>196</v>
      </c>
    </row>
    <row r="62" spans="1:6" x14ac:dyDescent="0.25">
      <c r="A62" s="271"/>
      <c r="B62" s="269"/>
      <c r="C62" s="270"/>
      <c r="D62" s="268"/>
      <c r="E62" s="267"/>
      <c r="F62" s="9">
        <v>198</v>
      </c>
    </row>
    <row r="63" spans="1:6" x14ac:dyDescent="0.25">
      <c r="A63" s="271"/>
      <c r="B63" s="269"/>
      <c r="C63" s="270"/>
      <c r="D63" s="268"/>
      <c r="E63" s="267">
        <v>200</v>
      </c>
      <c r="F63" s="9">
        <v>200</v>
      </c>
    </row>
    <row r="64" spans="1:6" x14ac:dyDescent="0.25">
      <c r="A64" s="271"/>
      <c r="B64" s="269"/>
      <c r="C64" s="270"/>
      <c r="D64" s="268"/>
      <c r="E64" s="267"/>
      <c r="F64" s="9">
        <v>203</v>
      </c>
    </row>
    <row r="65" spans="1:6" x14ac:dyDescent="0.25">
      <c r="A65" s="271"/>
      <c r="B65" s="269"/>
      <c r="C65" s="270"/>
      <c r="D65" s="268">
        <v>205</v>
      </c>
      <c r="E65" s="267">
        <v>205</v>
      </c>
      <c r="F65" s="9">
        <v>205</v>
      </c>
    </row>
    <row r="66" spans="1:6" x14ac:dyDescent="0.25">
      <c r="A66" s="271"/>
      <c r="B66" s="269"/>
      <c r="C66" s="270"/>
      <c r="D66" s="268"/>
      <c r="E66" s="267"/>
      <c r="F66" s="9">
        <v>208</v>
      </c>
    </row>
    <row r="67" spans="1:6" x14ac:dyDescent="0.25">
      <c r="A67" s="271"/>
      <c r="B67" s="269"/>
      <c r="C67" s="270"/>
      <c r="D67" s="268"/>
      <c r="E67" s="267">
        <v>210</v>
      </c>
      <c r="F67" s="9">
        <v>210</v>
      </c>
    </row>
    <row r="68" spans="1:6" x14ac:dyDescent="0.25">
      <c r="A68" s="271"/>
      <c r="B68" s="269"/>
      <c r="C68" s="270"/>
      <c r="D68" s="268"/>
      <c r="E68" s="267"/>
      <c r="F68" s="9">
        <v>213</v>
      </c>
    </row>
    <row r="69" spans="1:6" x14ac:dyDescent="0.25">
      <c r="A69" s="271">
        <v>220</v>
      </c>
      <c r="B69" s="269">
        <v>220</v>
      </c>
      <c r="C69" s="270">
        <v>220</v>
      </c>
      <c r="D69" s="268">
        <v>215</v>
      </c>
      <c r="E69" s="267">
        <v>215</v>
      </c>
      <c r="F69" s="9">
        <v>215</v>
      </c>
    </row>
    <row r="70" spans="1:6" x14ac:dyDescent="0.25">
      <c r="A70" s="271"/>
      <c r="B70" s="269"/>
      <c r="C70" s="270"/>
      <c r="D70" s="268"/>
      <c r="E70" s="267"/>
      <c r="F70" s="9">
        <v>218</v>
      </c>
    </row>
    <row r="71" spans="1:6" x14ac:dyDescent="0.25">
      <c r="A71" s="271"/>
      <c r="B71" s="269"/>
      <c r="C71" s="270"/>
      <c r="D71" s="268"/>
      <c r="E71" s="267">
        <v>221</v>
      </c>
      <c r="F71" s="9">
        <v>221</v>
      </c>
    </row>
    <row r="72" spans="1:6" x14ac:dyDescent="0.25">
      <c r="A72" s="271"/>
      <c r="B72" s="269"/>
      <c r="C72" s="270"/>
      <c r="D72" s="268"/>
      <c r="E72" s="267"/>
      <c r="F72" s="9">
        <v>223</v>
      </c>
    </row>
    <row r="73" spans="1:6" x14ac:dyDescent="0.25">
      <c r="A73" s="271"/>
      <c r="B73" s="269"/>
      <c r="C73" s="270"/>
      <c r="D73" s="268">
        <v>226</v>
      </c>
      <c r="E73" s="267">
        <v>226</v>
      </c>
      <c r="F73" s="9">
        <v>226</v>
      </c>
    </row>
    <row r="74" spans="1:6" x14ac:dyDescent="0.25">
      <c r="A74" s="271"/>
      <c r="B74" s="269"/>
      <c r="C74" s="270"/>
      <c r="D74" s="268"/>
      <c r="E74" s="267"/>
      <c r="F74" s="9">
        <v>229</v>
      </c>
    </row>
    <row r="75" spans="1:6" x14ac:dyDescent="0.25">
      <c r="A75" s="271"/>
      <c r="B75" s="269"/>
      <c r="C75" s="270"/>
      <c r="D75" s="268"/>
      <c r="E75" s="267">
        <v>232</v>
      </c>
      <c r="F75" s="9">
        <v>232</v>
      </c>
    </row>
    <row r="76" spans="1:6" x14ac:dyDescent="0.25">
      <c r="A76" s="271"/>
      <c r="B76" s="269"/>
      <c r="C76" s="270"/>
      <c r="D76" s="268"/>
      <c r="E76" s="267"/>
      <c r="F76" s="9">
        <v>234</v>
      </c>
    </row>
    <row r="77" spans="1:6" x14ac:dyDescent="0.25">
      <c r="A77" s="271"/>
      <c r="B77" s="269"/>
      <c r="C77" s="270">
        <v>240</v>
      </c>
      <c r="D77" s="268">
        <v>237</v>
      </c>
      <c r="E77" s="267">
        <v>237</v>
      </c>
      <c r="F77" s="9">
        <v>237</v>
      </c>
    </row>
    <row r="78" spans="1:6" x14ac:dyDescent="0.25">
      <c r="A78" s="271"/>
      <c r="B78" s="269"/>
      <c r="C78" s="270"/>
      <c r="D78" s="268"/>
      <c r="E78" s="267"/>
      <c r="F78" s="9">
        <v>240</v>
      </c>
    </row>
    <row r="79" spans="1:6" x14ac:dyDescent="0.25">
      <c r="A79" s="271"/>
      <c r="B79" s="269"/>
      <c r="C79" s="270"/>
      <c r="D79" s="268"/>
      <c r="E79" s="267">
        <v>243</v>
      </c>
      <c r="F79" s="9">
        <v>243</v>
      </c>
    </row>
    <row r="80" spans="1:6" x14ac:dyDescent="0.25">
      <c r="A80" s="271"/>
      <c r="B80" s="269"/>
      <c r="C80" s="270"/>
      <c r="D80" s="268"/>
      <c r="E80" s="267"/>
      <c r="F80" s="9">
        <v>246</v>
      </c>
    </row>
    <row r="81" spans="1:6" x14ac:dyDescent="0.25">
      <c r="A81" s="271"/>
      <c r="B81" s="269"/>
      <c r="C81" s="270"/>
      <c r="D81" s="268">
        <v>249</v>
      </c>
      <c r="E81" s="267">
        <v>249</v>
      </c>
      <c r="F81" s="9">
        <v>249</v>
      </c>
    </row>
    <row r="82" spans="1:6" x14ac:dyDescent="0.25">
      <c r="A82" s="271"/>
      <c r="B82" s="269"/>
      <c r="C82" s="270"/>
      <c r="D82" s="268"/>
      <c r="E82" s="267"/>
      <c r="F82" s="9">
        <v>252</v>
      </c>
    </row>
    <row r="83" spans="1:6" x14ac:dyDescent="0.25">
      <c r="A83" s="271"/>
      <c r="B83" s="269"/>
      <c r="C83" s="270"/>
      <c r="D83" s="268"/>
      <c r="E83" s="267">
        <v>255</v>
      </c>
      <c r="F83" s="9">
        <v>255</v>
      </c>
    </row>
    <row r="84" spans="1:6" x14ac:dyDescent="0.25">
      <c r="A84" s="271"/>
      <c r="B84" s="269"/>
      <c r="C84" s="270"/>
      <c r="D84" s="268"/>
      <c r="E84" s="267"/>
      <c r="F84" s="9">
        <v>258</v>
      </c>
    </row>
    <row r="85" spans="1:6" x14ac:dyDescent="0.25">
      <c r="A85" s="271"/>
      <c r="B85" s="269">
        <v>270</v>
      </c>
      <c r="C85" s="270">
        <v>270</v>
      </c>
      <c r="D85" s="268">
        <v>261</v>
      </c>
      <c r="E85" s="267">
        <v>261</v>
      </c>
      <c r="F85" s="9">
        <v>261</v>
      </c>
    </row>
    <row r="86" spans="1:6" x14ac:dyDescent="0.25">
      <c r="A86" s="271"/>
      <c r="B86" s="269"/>
      <c r="C86" s="270"/>
      <c r="D86" s="268"/>
      <c r="E86" s="267"/>
      <c r="F86" s="9">
        <v>264</v>
      </c>
    </row>
    <row r="87" spans="1:6" x14ac:dyDescent="0.25">
      <c r="A87" s="271"/>
      <c r="B87" s="269"/>
      <c r="C87" s="270"/>
      <c r="D87" s="268"/>
      <c r="E87" s="267">
        <v>267</v>
      </c>
      <c r="F87" s="9">
        <v>267</v>
      </c>
    </row>
    <row r="88" spans="1:6" x14ac:dyDescent="0.25">
      <c r="A88" s="271"/>
      <c r="B88" s="269"/>
      <c r="C88" s="270"/>
      <c r="D88" s="268"/>
      <c r="E88" s="267"/>
      <c r="F88" s="9">
        <v>271</v>
      </c>
    </row>
    <row r="89" spans="1:6" x14ac:dyDescent="0.25">
      <c r="A89" s="271"/>
      <c r="B89" s="269"/>
      <c r="C89" s="270"/>
      <c r="D89" s="268">
        <v>274</v>
      </c>
      <c r="E89" s="267">
        <v>274</v>
      </c>
      <c r="F89" s="9">
        <v>274</v>
      </c>
    </row>
    <row r="90" spans="1:6" x14ac:dyDescent="0.25">
      <c r="A90" s="271"/>
      <c r="B90" s="269"/>
      <c r="C90" s="270"/>
      <c r="D90" s="268"/>
      <c r="E90" s="267"/>
      <c r="F90" s="9">
        <v>277</v>
      </c>
    </row>
    <row r="91" spans="1:6" x14ac:dyDescent="0.25">
      <c r="A91" s="271"/>
      <c r="B91" s="269"/>
      <c r="C91" s="270"/>
      <c r="D91" s="268"/>
      <c r="E91" s="267">
        <v>280</v>
      </c>
      <c r="F91" s="9">
        <v>280</v>
      </c>
    </row>
    <row r="92" spans="1:6" x14ac:dyDescent="0.25">
      <c r="A92" s="271"/>
      <c r="B92" s="269"/>
      <c r="C92" s="270"/>
      <c r="D92" s="268"/>
      <c r="E92" s="267"/>
      <c r="F92" s="9">
        <v>284</v>
      </c>
    </row>
    <row r="93" spans="1:6" x14ac:dyDescent="0.25">
      <c r="A93" s="271"/>
      <c r="B93" s="269"/>
      <c r="C93" s="270">
        <v>300</v>
      </c>
      <c r="D93" s="268">
        <v>287</v>
      </c>
      <c r="E93" s="267">
        <v>287</v>
      </c>
      <c r="F93" s="9">
        <v>287</v>
      </c>
    </row>
    <row r="94" spans="1:6" x14ac:dyDescent="0.25">
      <c r="A94" s="271"/>
      <c r="B94" s="269"/>
      <c r="C94" s="270"/>
      <c r="D94" s="268"/>
      <c r="E94" s="267"/>
      <c r="F94" s="9">
        <v>291</v>
      </c>
    </row>
    <row r="95" spans="1:6" x14ac:dyDescent="0.25">
      <c r="A95" s="271"/>
      <c r="B95" s="269"/>
      <c r="C95" s="270"/>
      <c r="D95" s="268"/>
      <c r="E95" s="267">
        <v>294</v>
      </c>
      <c r="F95" s="9">
        <v>294</v>
      </c>
    </row>
    <row r="96" spans="1:6" x14ac:dyDescent="0.25">
      <c r="A96" s="271"/>
      <c r="B96" s="269"/>
      <c r="C96" s="270"/>
      <c r="D96" s="268"/>
      <c r="E96" s="267"/>
      <c r="F96" s="9">
        <v>298</v>
      </c>
    </row>
    <row r="97" spans="1:6" x14ac:dyDescent="0.25">
      <c r="A97" s="271"/>
      <c r="B97" s="269"/>
      <c r="C97" s="270"/>
      <c r="D97" s="268">
        <v>301</v>
      </c>
      <c r="E97" s="267">
        <v>301</v>
      </c>
      <c r="F97" s="9">
        <v>301</v>
      </c>
    </row>
    <row r="98" spans="1:6" x14ac:dyDescent="0.25">
      <c r="A98" s="271"/>
      <c r="B98" s="269"/>
      <c r="C98" s="270"/>
      <c r="D98" s="268"/>
      <c r="E98" s="267"/>
      <c r="F98" s="9">
        <v>305</v>
      </c>
    </row>
    <row r="99" spans="1:6" x14ac:dyDescent="0.25">
      <c r="A99" s="271"/>
      <c r="B99" s="269"/>
      <c r="C99" s="270"/>
      <c r="D99" s="268"/>
      <c r="E99" s="267">
        <v>309</v>
      </c>
      <c r="F99" s="9">
        <v>309</v>
      </c>
    </row>
    <row r="100" spans="1:6" x14ac:dyDescent="0.25">
      <c r="A100" s="271"/>
      <c r="B100" s="269"/>
      <c r="C100" s="270"/>
      <c r="D100" s="268"/>
      <c r="E100" s="267"/>
      <c r="F100" s="9">
        <v>312</v>
      </c>
    </row>
    <row r="101" spans="1:6" x14ac:dyDescent="0.25">
      <c r="A101" s="271">
        <v>330</v>
      </c>
      <c r="B101" s="269">
        <v>330</v>
      </c>
      <c r="C101" s="270">
        <v>330</v>
      </c>
      <c r="D101" s="268">
        <v>316</v>
      </c>
      <c r="E101" s="267">
        <v>316</v>
      </c>
      <c r="F101" s="9">
        <v>316</v>
      </c>
    </row>
    <row r="102" spans="1:6" x14ac:dyDescent="0.25">
      <c r="A102" s="271"/>
      <c r="B102" s="269"/>
      <c r="C102" s="270"/>
      <c r="D102" s="268"/>
      <c r="E102" s="267"/>
      <c r="F102" s="9">
        <v>320</v>
      </c>
    </row>
    <row r="103" spans="1:6" x14ac:dyDescent="0.25">
      <c r="A103" s="271"/>
      <c r="B103" s="269"/>
      <c r="C103" s="270"/>
      <c r="D103" s="268"/>
      <c r="E103" s="267">
        <v>324</v>
      </c>
      <c r="F103" s="9">
        <v>324</v>
      </c>
    </row>
    <row r="104" spans="1:6" x14ac:dyDescent="0.25">
      <c r="A104" s="271"/>
      <c r="B104" s="269"/>
      <c r="C104" s="270"/>
      <c r="D104" s="268"/>
      <c r="E104" s="267"/>
      <c r="F104" s="9">
        <v>328</v>
      </c>
    </row>
    <row r="105" spans="1:6" x14ac:dyDescent="0.25">
      <c r="A105" s="271"/>
      <c r="B105" s="269"/>
      <c r="C105" s="270"/>
      <c r="D105" s="268">
        <v>332</v>
      </c>
      <c r="E105" s="267">
        <v>332</v>
      </c>
      <c r="F105" s="9">
        <v>332</v>
      </c>
    </row>
    <row r="106" spans="1:6" x14ac:dyDescent="0.25">
      <c r="A106" s="271"/>
      <c r="B106" s="269"/>
      <c r="C106" s="270"/>
      <c r="D106" s="268"/>
      <c r="E106" s="267"/>
      <c r="F106" s="9">
        <v>336</v>
      </c>
    </row>
    <row r="107" spans="1:6" x14ac:dyDescent="0.25">
      <c r="A107" s="271"/>
      <c r="B107" s="269"/>
      <c r="C107" s="270"/>
      <c r="D107" s="268"/>
      <c r="E107" s="267">
        <v>340</v>
      </c>
      <c r="F107" s="9">
        <v>340</v>
      </c>
    </row>
    <row r="108" spans="1:6" x14ac:dyDescent="0.25">
      <c r="A108" s="271"/>
      <c r="B108" s="269"/>
      <c r="C108" s="270"/>
      <c r="D108" s="268"/>
      <c r="E108" s="267"/>
      <c r="F108" s="9">
        <v>344</v>
      </c>
    </row>
    <row r="109" spans="1:6" x14ac:dyDescent="0.25">
      <c r="A109" s="271"/>
      <c r="B109" s="269"/>
      <c r="C109" s="270">
        <v>360</v>
      </c>
      <c r="D109" s="268">
        <v>348</v>
      </c>
      <c r="E109" s="267">
        <v>348</v>
      </c>
      <c r="F109" s="9">
        <v>348</v>
      </c>
    </row>
    <row r="110" spans="1:6" x14ac:dyDescent="0.25">
      <c r="A110" s="271"/>
      <c r="B110" s="269"/>
      <c r="C110" s="270"/>
      <c r="D110" s="268"/>
      <c r="E110" s="267"/>
      <c r="F110" s="9">
        <v>352</v>
      </c>
    </row>
    <row r="111" spans="1:6" x14ac:dyDescent="0.25">
      <c r="A111" s="271"/>
      <c r="B111" s="269"/>
      <c r="C111" s="270"/>
      <c r="D111" s="268"/>
      <c r="E111" s="267">
        <v>357</v>
      </c>
      <c r="F111" s="9">
        <v>357</v>
      </c>
    </row>
    <row r="112" spans="1:6" x14ac:dyDescent="0.25">
      <c r="A112" s="271"/>
      <c r="B112" s="269"/>
      <c r="C112" s="270"/>
      <c r="D112" s="268"/>
      <c r="E112" s="267"/>
      <c r="F112" s="9">
        <v>361</v>
      </c>
    </row>
    <row r="113" spans="1:6" x14ac:dyDescent="0.25">
      <c r="A113" s="271"/>
      <c r="B113" s="269"/>
      <c r="C113" s="270"/>
      <c r="D113" s="268">
        <v>365</v>
      </c>
      <c r="E113" s="267">
        <v>365</v>
      </c>
      <c r="F113" s="9">
        <v>365</v>
      </c>
    </row>
    <row r="114" spans="1:6" x14ac:dyDescent="0.25">
      <c r="A114" s="271"/>
      <c r="B114" s="269"/>
      <c r="C114" s="270"/>
      <c r="D114" s="268"/>
      <c r="E114" s="267"/>
      <c r="F114" s="9">
        <v>370</v>
      </c>
    </row>
    <row r="115" spans="1:6" x14ac:dyDescent="0.25">
      <c r="A115" s="271"/>
      <c r="B115" s="269"/>
      <c r="C115" s="270"/>
      <c r="D115" s="268"/>
      <c r="E115" s="267">
        <v>374</v>
      </c>
      <c r="F115" s="9">
        <v>374</v>
      </c>
    </row>
    <row r="116" spans="1:6" x14ac:dyDescent="0.25">
      <c r="A116" s="271"/>
      <c r="B116" s="269"/>
      <c r="C116" s="270"/>
      <c r="D116" s="268"/>
      <c r="E116" s="267"/>
      <c r="F116" s="9">
        <v>379</v>
      </c>
    </row>
    <row r="117" spans="1:6" x14ac:dyDescent="0.25">
      <c r="A117" s="271"/>
      <c r="B117" s="269">
        <v>390</v>
      </c>
      <c r="C117" s="270">
        <v>390</v>
      </c>
      <c r="D117" s="268">
        <v>383</v>
      </c>
      <c r="E117" s="267">
        <v>383</v>
      </c>
      <c r="F117" s="9">
        <v>383</v>
      </c>
    </row>
    <row r="118" spans="1:6" x14ac:dyDescent="0.25">
      <c r="A118" s="271"/>
      <c r="B118" s="269"/>
      <c r="C118" s="270"/>
      <c r="D118" s="268"/>
      <c r="E118" s="267"/>
      <c r="F118" s="9">
        <v>388</v>
      </c>
    </row>
    <row r="119" spans="1:6" x14ac:dyDescent="0.25">
      <c r="A119" s="271"/>
      <c r="B119" s="269"/>
      <c r="C119" s="270"/>
      <c r="D119" s="268"/>
      <c r="E119" s="267">
        <v>392</v>
      </c>
      <c r="F119" s="9">
        <v>392</v>
      </c>
    </row>
    <row r="120" spans="1:6" x14ac:dyDescent="0.25">
      <c r="A120" s="271"/>
      <c r="B120" s="269"/>
      <c r="C120" s="270"/>
      <c r="D120" s="268"/>
      <c r="E120" s="267"/>
      <c r="F120" s="9">
        <v>397</v>
      </c>
    </row>
    <row r="121" spans="1:6" x14ac:dyDescent="0.25">
      <c r="A121" s="271"/>
      <c r="B121" s="269"/>
      <c r="C121" s="270"/>
      <c r="D121" s="268">
        <v>402</v>
      </c>
      <c r="E121" s="267">
        <v>402</v>
      </c>
      <c r="F121" s="9">
        <v>402</v>
      </c>
    </row>
    <row r="122" spans="1:6" x14ac:dyDescent="0.25">
      <c r="A122" s="271"/>
      <c r="B122" s="269"/>
      <c r="C122" s="270"/>
      <c r="D122" s="268"/>
      <c r="E122" s="267"/>
      <c r="F122" s="9">
        <v>407</v>
      </c>
    </row>
    <row r="123" spans="1:6" x14ac:dyDescent="0.25">
      <c r="A123" s="271"/>
      <c r="B123" s="269"/>
      <c r="C123" s="270"/>
      <c r="D123" s="268"/>
      <c r="E123" s="267">
        <v>412</v>
      </c>
      <c r="F123" s="9">
        <v>412</v>
      </c>
    </row>
    <row r="124" spans="1:6" x14ac:dyDescent="0.25">
      <c r="A124" s="271"/>
      <c r="B124" s="269"/>
      <c r="C124" s="270"/>
      <c r="D124" s="268"/>
      <c r="E124" s="267"/>
      <c r="F124" s="9">
        <v>417</v>
      </c>
    </row>
    <row r="125" spans="1:6" x14ac:dyDescent="0.25">
      <c r="A125" s="271"/>
      <c r="B125" s="269"/>
      <c r="C125" s="270">
        <v>430</v>
      </c>
      <c r="D125" s="268">
        <v>422</v>
      </c>
      <c r="E125" s="267">
        <v>422</v>
      </c>
      <c r="F125" s="9">
        <v>422</v>
      </c>
    </row>
    <row r="126" spans="1:6" x14ac:dyDescent="0.25">
      <c r="A126" s="271"/>
      <c r="B126" s="269"/>
      <c r="C126" s="270"/>
      <c r="D126" s="268"/>
      <c r="E126" s="267"/>
      <c r="F126" s="9">
        <v>427</v>
      </c>
    </row>
    <row r="127" spans="1:6" x14ac:dyDescent="0.25">
      <c r="A127" s="271"/>
      <c r="B127" s="269"/>
      <c r="C127" s="270"/>
      <c r="D127" s="268"/>
      <c r="E127" s="267">
        <v>432</v>
      </c>
      <c r="F127" s="9">
        <v>432</v>
      </c>
    </row>
    <row r="128" spans="1:6" x14ac:dyDescent="0.25">
      <c r="A128" s="271"/>
      <c r="B128" s="269"/>
      <c r="C128" s="270"/>
      <c r="D128" s="268"/>
      <c r="E128" s="267"/>
      <c r="F128" s="9">
        <v>437</v>
      </c>
    </row>
    <row r="129" spans="1:6" x14ac:dyDescent="0.25">
      <c r="A129" s="271"/>
      <c r="B129" s="269"/>
      <c r="C129" s="270"/>
      <c r="D129" s="268">
        <v>442</v>
      </c>
      <c r="E129" s="267">
        <v>442</v>
      </c>
      <c r="F129" s="9">
        <v>442</v>
      </c>
    </row>
    <row r="130" spans="1:6" x14ac:dyDescent="0.25">
      <c r="A130" s="271"/>
      <c r="B130" s="269"/>
      <c r="C130" s="270"/>
      <c r="D130" s="268"/>
      <c r="E130" s="267"/>
      <c r="F130" s="9">
        <v>448</v>
      </c>
    </row>
    <row r="131" spans="1:6" x14ac:dyDescent="0.25">
      <c r="A131" s="271"/>
      <c r="B131" s="269"/>
      <c r="C131" s="270"/>
      <c r="D131" s="268"/>
      <c r="E131" s="267">
        <v>453</v>
      </c>
      <c r="F131" s="9">
        <v>453</v>
      </c>
    </row>
    <row r="132" spans="1:6" x14ac:dyDescent="0.25">
      <c r="A132" s="271"/>
      <c r="B132" s="269"/>
      <c r="C132" s="270"/>
      <c r="D132" s="268"/>
      <c r="E132" s="267"/>
      <c r="F132" s="9">
        <v>459</v>
      </c>
    </row>
    <row r="133" spans="1:6" x14ac:dyDescent="0.25">
      <c r="A133" s="271">
        <v>470</v>
      </c>
      <c r="B133" s="269">
        <v>470</v>
      </c>
      <c r="C133" s="270">
        <v>470</v>
      </c>
      <c r="D133" s="268">
        <v>464</v>
      </c>
      <c r="E133" s="267">
        <v>464</v>
      </c>
      <c r="F133" s="9">
        <v>464</v>
      </c>
    </row>
    <row r="134" spans="1:6" x14ac:dyDescent="0.25">
      <c r="A134" s="271"/>
      <c r="B134" s="269"/>
      <c r="C134" s="270"/>
      <c r="D134" s="268"/>
      <c r="E134" s="267"/>
      <c r="F134" s="9">
        <v>470</v>
      </c>
    </row>
    <row r="135" spans="1:6" x14ac:dyDescent="0.25">
      <c r="A135" s="271"/>
      <c r="B135" s="269"/>
      <c r="C135" s="270"/>
      <c r="D135" s="268"/>
      <c r="E135" s="267">
        <v>475</v>
      </c>
      <c r="F135" s="9">
        <v>475</v>
      </c>
    </row>
    <row r="136" spans="1:6" x14ac:dyDescent="0.25">
      <c r="A136" s="271"/>
      <c r="B136" s="269"/>
      <c r="C136" s="270"/>
      <c r="D136" s="268"/>
      <c r="E136" s="267"/>
      <c r="F136" s="9">
        <v>481</v>
      </c>
    </row>
    <row r="137" spans="1:6" x14ac:dyDescent="0.25">
      <c r="A137" s="271"/>
      <c r="B137" s="269"/>
      <c r="C137" s="270"/>
      <c r="D137" s="268">
        <v>487</v>
      </c>
      <c r="E137" s="267">
        <v>487</v>
      </c>
      <c r="F137" s="9">
        <v>487</v>
      </c>
    </row>
    <row r="138" spans="1:6" x14ac:dyDescent="0.25">
      <c r="A138" s="271"/>
      <c r="B138" s="269"/>
      <c r="C138" s="270"/>
      <c r="D138" s="268"/>
      <c r="E138" s="267"/>
      <c r="F138" s="9">
        <v>493</v>
      </c>
    </row>
    <row r="139" spans="1:6" x14ac:dyDescent="0.25">
      <c r="A139" s="271"/>
      <c r="B139" s="269"/>
      <c r="C139" s="270"/>
      <c r="D139" s="268"/>
      <c r="E139" s="267">
        <v>499</v>
      </c>
      <c r="F139" s="9">
        <v>499</v>
      </c>
    </row>
    <row r="140" spans="1:6" x14ac:dyDescent="0.25">
      <c r="A140" s="271"/>
      <c r="B140" s="269"/>
      <c r="C140" s="270"/>
      <c r="D140" s="268"/>
      <c r="E140" s="267"/>
      <c r="F140" s="9">
        <v>505</v>
      </c>
    </row>
    <row r="141" spans="1:6" x14ac:dyDescent="0.25">
      <c r="A141" s="271"/>
      <c r="B141" s="269"/>
      <c r="C141" s="270">
        <v>510</v>
      </c>
      <c r="D141" s="268">
        <v>511</v>
      </c>
      <c r="E141" s="267">
        <v>511</v>
      </c>
      <c r="F141" s="9">
        <v>511</v>
      </c>
    </row>
    <row r="142" spans="1:6" x14ac:dyDescent="0.25">
      <c r="A142" s="271"/>
      <c r="B142" s="269"/>
      <c r="C142" s="270"/>
      <c r="D142" s="268"/>
      <c r="E142" s="267"/>
      <c r="F142" s="9">
        <v>517</v>
      </c>
    </row>
    <row r="143" spans="1:6" x14ac:dyDescent="0.25">
      <c r="A143" s="271"/>
      <c r="B143" s="269"/>
      <c r="C143" s="270"/>
      <c r="D143" s="268"/>
      <c r="E143" s="267">
        <v>523</v>
      </c>
      <c r="F143" s="9">
        <v>523</v>
      </c>
    </row>
    <row r="144" spans="1:6" x14ac:dyDescent="0.25">
      <c r="A144" s="271"/>
      <c r="B144" s="269"/>
      <c r="C144" s="270"/>
      <c r="D144" s="268"/>
      <c r="E144" s="267"/>
      <c r="F144" s="9">
        <v>530</v>
      </c>
    </row>
    <row r="145" spans="1:6" x14ac:dyDescent="0.25">
      <c r="A145" s="271"/>
      <c r="B145" s="269"/>
      <c r="C145" s="270"/>
      <c r="D145" s="268">
        <v>536</v>
      </c>
      <c r="E145" s="267">
        <v>536</v>
      </c>
      <c r="F145" s="9">
        <v>536</v>
      </c>
    </row>
    <row r="146" spans="1:6" x14ac:dyDescent="0.25">
      <c r="A146" s="271"/>
      <c r="B146" s="269"/>
      <c r="C146" s="270"/>
      <c r="D146" s="268"/>
      <c r="E146" s="267"/>
      <c r="F146" s="9">
        <v>542</v>
      </c>
    </row>
    <row r="147" spans="1:6" x14ac:dyDescent="0.25">
      <c r="A147" s="271"/>
      <c r="B147" s="269"/>
      <c r="C147" s="270"/>
      <c r="D147" s="268"/>
      <c r="E147" s="267">
        <v>549</v>
      </c>
      <c r="F147" s="9">
        <v>549</v>
      </c>
    </row>
    <row r="148" spans="1:6" x14ac:dyDescent="0.25">
      <c r="A148" s="271"/>
      <c r="B148" s="269"/>
      <c r="C148" s="270"/>
      <c r="D148" s="268"/>
      <c r="E148" s="267"/>
      <c r="F148" s="9">
        <v>556</v>
      </c>
    </row>
    <row r="149" spans="1:6" x14ac:dyDescent="0.25">
      <c r="A149" s="271"/>
      <c r="B149" s="269">
        <v>560</v>
      </c>
      <c r="C149" s="270">
        <v>560</v>
      </c>
      <c r="D149" s="268">
        <v>562</v>
      </c>
      <c r="E149" s="267">
        <v>562</v>
      </c>
      <c r="F149" s="9">
        <v>562</v>
      </c>
    </row>
    <row r="150" spans="1:6" x14ac:dyDescent="0.25">
      <c r="A150" s="271"/>
      <c r="B150" s="269"/>
      <c r="C150" s="270"/>
      <c r="D150" s="268"/>
      <c r="E150" s="267"/>
      <c r="F150" s="9">
        <v>569</v>
      </c>
    </row>
    <row r="151" spans="1:6" x14ac:dyDescent="0.25">
      <c r="A151" s="271"/>
      <c r="B151" s="269"/>
      <c r="C151" s="270"/>
      <c r="D151" s="268"/>
      <c r="E151" s="267">
        <v>576</v>
      </c>
      <c r="F151" s="9">
        <v>576</v>
      </c>
    </row>
    <row r="152" spans="1:6" x14ac:dyDescent="0.25">
      <c r="A152" s="271"/>
      <c r="B152" s="269"/>
      <c r="C152" s="270"/>
      <c r="D152" s="268"/>
      <c r="E152" s="267"/>
      <c r="F152" s="9">
        <v>583</v>
      </c>
    </row>
    <row r="153" spans="1:6" x14ac:dyDescent="0.25">
      <c r="A153" s="271"/>
      <c r="B153" s="269"/>
      <c r="C153" s="270"/>
      <c r="D153" s="268">
        <v>590</v>
      </c>
      <c r="E153" s="267">
        <v>590</v>
      </c>
      <c r="F153" s="9">
        <v>590</v>
      </c>
    </row>
    <row r="154" spans="1:6" x14ac:dyDescent="0.25">
      <c r="A154" s="271"/>
      <c r="B154" s="269"/>
      <c r="C154" s="270"/>
      <c r="D154" s="268"/>
      <c r="E154" s="267"/>
      <c r="F154" s="9">
        <v>597</v>
      </c>
    </row>
    <row r="155" spans="1:6" x14ac:dyDescent="0.25">
      <c r="A155" s="271"/>
      <c r="B155" s="269"/>
      <c r="C155" s="270"/>
      <c r="D155" s="268"/>
      <c r="E155" s="267">
        <v>604</v>
      </c>
      <c r="F155" s="9">
        <v>604</v>
      </c>
    </row>
    <row r="156" spans="1:6" x14ac:dyDescent="0.25">
      <c r="A156" s="271"/>
      <c r="B156" s="269"/>
      <c r="C156" s="270"/>
      <c r="D156" s="268"/>
      <c r="E156" s="267"/>
      <c r="F156" s="9">
        <v>612</v>
      </c>
    </row>
    <row r="157" spans="1:6" x14ac:dyDescent="0.25">
      <c r="A157" s="271"/>
      <c r="B157" s="269"/>
      <c r="C157" s="270">
        <v>620</v>
      </c>
      <c r="D157" s="268">
        <v>619</v>
      </c>
      <c r="E157" s="267">
        <v>619</v>
      </c>
      <c r="F157" s="9">
        <v>619</v>
      </c>
    </row>
    <row r="158" spans="1:6" x14ac:dyDescent="0.25">
      <c r="A158" s="271"/>
      <c r="B158" s="269"/>
      <c r="C158" s="270"/>
      <c r="D158" s="268"/>
      <c r="E158" s="267"/>
      <c r="F158" s="9">
        <v>626</v>
      </c>
    </row>
    <row r="159" spans="1:6" x14ac:dyDescent="0.25">
      <c r="A159" s="271"/>
      <c r="B159" s="269"/>
      <c r="C159" s="270"/>
      <c r="D159" s="268"/>
      <c r="E159" s="267">
        <v>634</v>
      </c>
      <c r="F159" s="9">
        <v>634</v>
      </c>
    </row>
    <row r="160" spans="1:6" x14ac:dyDescent="0.25">
      <c r="A160" s="271"/>
      <c r="B160" s="269"/>
      <c r="C160" s="270"/>
      <c r="D160" s="268"/>
      <c r="E160" s="267"/>
      <c r="F160" s="9">
        <v>642</v>
      </c>
    </row>
    <row r="161" spans="1:6" x14ac:dyDescent="0.25">
      <c r="A161" s="271"/>
      <c r="B161" s="269"/>
      <c r="C161" s="270"/>
      <c r="D161" s="268">
        <v>649</v>
      </c>
      <c r="E161" s="267">
        <v>649</v>
      </c>
      <c r="F161" s="9">
        <v>649</v>
      </c>
    </row>
    <row r="162" spans="1:6" x14ac:dyDescent="0.25">
      <c r="A162" s="271"/>
      <c r="B162" s="269"/>
      <c r="C162" s="270"/>
      <c r="D162" s="268"/>
      <c r="E162" s="267"/>
      <c r="F162" s="9">
        <v>657</v>
      </c>
    </row>
    <row r="163" spans="1:6" x14ac:dyDescent="0.25">
      <c r="A163" s="271"/>
      <c r="B163" s="269"/>
      <c r="C163" s="270"/>
      <c r="D163" s="268"/>
      <c r="E163" s="267">
        <v>665</v>
      </c>
      <c r="F163" s="9">
        <v>665</v>
      </c>
    </row>
    <row r="164" spans="1:6" x14ac:dyDescent="0.25">
      <c r="A164" s="271"/>
      <c r="B164" s="269"/>
      <c r="C164" s="270"/>
      <c r="D164" s="268"/>
      <c r="E164" s="267"/>
      <c r="F164" s="9">
        <v>673</v>
      </c>
    </row>
    <row r="165" spans="1:6" x14ac:dyDescent="0.25">
      <c r="A165" s="271">
        <v>680</v>
      </c>
      <c r="B165" s="269">
        <v>680</v>
      </c>
      <c r="C165" s="270">
        <v>680</v>
      </c>
      <c r="D165" s="268">
        <v>681</v>
      </c>
      <c r="E165" s="267">
        <v>681</v>
      </c>
      <c r="F165" s="9">
        <v>681</v>
      </c>
    </row>
    <row r="166" spans="1:6" x14ac:dyDescent="0.25">
      <c r="A166" s="271"/>
      <c r="B166" s="269"/>
      <c r="C166" s="270"/>
      <c r="D166" s="268"/>
      <c r="E166" s="267"/>
      <c r="F166" s="9">
        <v>690</v>
      </c>
    </row>
    <row r="167" spans="1:6" x14ac:dyDescent="0.25">
      <c r="A167" s="271"/>
      <c r="B167" s="269"/>
      <c r="C167" s="270"/>
      <c r="D167" s="268"/>
      <c r="E167" s="267">
        <v>698</v>
      </c>
      <c r="F167" s="9">
        <v>698</v>
      </c>
    </row>
    <row r="168" spans="1:6" x14ac:dyDescent="0.25">
      <c r="A168" s="271"/>
      <c r="B168" s="269"/>
      <c r="C168" s="270"/>
      <c r="D168" s="268"/>
      <c r="E168" s="267"/>
      <c r="F168" s="9">
        <v>706</v>
      </c>
    </row>
    <row r="169" spans="1:6" x14ac:dyDescent="0.25">
      <c r="A169" s="271"/>
      <c r="B169" s="269"/>
      <c r="C169" s="270"/>
      <c r="D169" s="268">
        <v>715</v>
      </c>
      <c r="E169" s="267">
        <v>715</v>
      </c>
      <c r="F169" s="9">
        <v>715</v>
      </c>
    </row>
    <row r="170" spans="1:6" x14ac:dyDescent="0.25">
      <c r="A170" s="271"/>
      <c r="B170" s="269"/>
      <c r="C170" s="270"/>
      <c r="D170" s="268"/>
      <c r="E170" s="267"/>
      <c r="F170" s="9">
        <v>723</v>
      </c>
    </row>
    <row r="171" spans="1:6" x14ac:dyDescent="0.25">
      <c r="A171" s="271"/>
      <c r="B171" s="269"/>
      <c r="C171" s="270"/>
      <c r="D171" s="268"/>
      <c r="E171" s="267">
        <v>732</v>
      </c>
      <c r="F171" s="9">
        <v>732</v>
      </c>
    </row>
    <row r="172" spans="1:6" x14ac:dyDescent="0.25">
      <c r="A172" s="271"/>
      <c r="B172" s="269"/>
      <c r="C172" s="270"/>
      <c r="D172" s="268"/>
      <c r="E172" s="267"/>
      <c r="F172" s="9">
        <v>741</v>
      </c>
    </row>
    <row r="173" spans="1:6" x14ac:dyDescent="0.25">
      <c r="A173" s="271"/>
      <c r="B173" s="269"/>
      <c r="C173" s="270">
        <v>750</v>
      </c>
      <c r="D173" s="268">
        <v>750</v>
      </c>
      <c r="E173" s="267">
        <v>750</v>
      </c>
      <c r="F173" s="9">
        <v>750</v>
      </c>
    </row>
    <row r="174" spans="1:6" x14ac:dyDescent="0.25">
      <c r="A174" s="271"/>
      <c r="B174" s="269"/>
      <c r="C174" s="270"/>
      <c r="D174" s="268"/>
      <c r="E174" s="267"/>
      <c r="F174" s="9">
        <v>759</v>
      </c>
    </row>
    <row r="175" spans="1:6" x14ac:dyDescent="0.25">
      <c r="A175" s="271"/>
      <c r="B175" s="269"/>
      <c r="C175" s="270"/>
      <c r="D175" s="268"/>
      <c r="E175" s="267">
        <v>768</v>
      </c>
      <c r="F175" s="9">
        <v>768</v>
      </c>
    </row>
    <row r="176" spans="1:6" x14ac:dyDescent="0.25">
      <c r="A176" s="271"/>
      <c r="B176" s="269"/>
      <c r="C176" s="270"/>
      <c r="D176" s="268"/>
      <c r="E176" s="267"/>
      <c r="F176" s="9">
        <v>777</v>
      </c>
    </row>
    <row r="177" spans="1:6" x14ac:dyDescent="0.25">
      <c r="A177" s="271"/>
      <c r="B177" s="269"/>
      <c r="C177" s="270"/>
      <c r="D177" s="268">
        <v>787</v>
      </c>
      <c r="E177" s="267">
        <v>787</v>
      </c>
      <c r="F177" s="9">
        <v>787</v>
      </c>
    </row>
    <row r="178" spans="1:6" x14ac:dyDescent="0.25">
      <c r="A178" s="271"/>
      <c r="B178" s="269"/>
      <c r="C178" s="270"/>
      <c r="D178" s="268"/>
      <c r="E178" s="267"/>
      <c r="F178" s="9">
        <v>796</v>
      </c>
    </row>
    <row r="179" spans="1:6" x14ac:dyDescent="0.25">
      <c r="A179" s="271"/>
      <c r="B179" s="269"/>
      <c r="C179" s="270"/>
      <c r="D179" s="268"/>
      <c r="E179" s="267">
        <v>806</v>
      </c>
      <c r="F179" s="9">
        <v>806</v>
      </c>
    </row>
    <row r="180" spans="1:6" x14ac:dyDescent="0.25">
      <c r="A180" s="271"/>
      <c r="B180" s="269"/>
      <c r="C180" s="270"/>
      <c r="D180" s="268"/>
      <c r="E180" s="267"/>
      <c r="F180" s="9">
        <v>816</v>
      </c>
    </row>
    <row r="181" spans="1:6" x14ac:dyDescent="0.25">
      <c r="A181" s="271"/>
      <c r="B181" s="269">
        <v>820</v>
      </c>
      <c r="C181" s="270">
        <v>820</v>
      </c>
      <c r="D181" s="268">
        <v>825</v>
      </c>
      <c r="E181" s="267">
        <v>825</v>
      </c>
      <c r="F181" s="9">
        <v>825</v>
      </c>
    </row>
    <row r="182" spans="1:6" x14ac:dyDescent="0.25">
      <c r="A182" s="271"/>
      <c r="B182" s="269"/>
      <c r="C182" s="270"/>
      <c r="D182" s="268"/>
      <c r="E182" s="267"/>
      <c r="F182" s="9">
        <v>835</v>
      </c>
    </row>
    <row r="183" spans="1:6" x14ac:dyDescent="0.25">
      <c r="A183" s="271"/>
      <c r="B183" s="269"/>
      <c r="C183" s="270"/>
      <c r="D183" s="268"/>
      <c r="E183" s="267">
        <v>845</v>
      </c>
      <c r="F183" s="9">
        <v>845</v>
      </c>
    </row>
    <row r="184" spans="1:6" x14ac:dyDescent="0.25">
      <c r="A184" s="271"/>
      <c r="B184" s="269"/>
      <c r="C184" s="270"/>
      <c r="D184" s="268"/>
      <c r="E184" s="267"/>
      <c r="F184" s="9">
        <v>856</v>
      </c>
    </row>
    <row r="185" spans="1:6" x14ac:dyDescent="0.25">
      <c r="A185" s="271"/>
      <c r="B185" s="269"/>
      <c r="C185" s="270"/>
      <c r="D185" s="268">
        <v>866</v>
      </c>
      <c r="E185" s="267">
        <v>866</v>
      </c>
      <c r="F185" s="9">
        <v>866</v>
      </c>
    </row>
    <row r="186" spans="1:6" x14ac:dyDescent="0.25">
      <c r="A186" s="271"/>
      <c r="B186" s="269"/>
      <c r="C186" s="270"/>
      <c r="D186" s="268"/>
      <c r="E186" s="267"/>
      <c r="F186" s="9">
        <v>876</v>
      </c>
    </row>
    <row r="187" spans="1:6" x14ac:dyDescent="0.25">
      <c r="A187" s="271"/>
      <c r="B187" s="269"/>
      <c r="C187" s="270"/>
      <c r="D187" s="268"/>
      <c r="E187" s="267">
        <v>887</v>
      </c>
      <c r="F187" s="9">
        <v>887</v>
      </c>
    </row>
    <row r="188" spans="1:6" x14ac:dyDescent="0.25">
      <c r="A188" s="271"/>
      <c r="B188" s="269"/>
      <c r="C188" s="270"/>
      <c r="D188" s="268"/>
      <c r="E188" s="267"/>
      <c r="F188" s="9">
        <v>898</v>
      </c>
    </row>
    <row r="189" spans="1:6" x14ac:dyDescent="0.25">
      <c r="A189" s="271"/>
      <c r="B189" s="269"/>
      <c r="C189" s="270">
        <v>910</v>
      </c>
      <c r="D189" s="268">
        <v>909</v>
      </c>
      <c r="E189" s="267">
        <v>909</v>
      </c>
      <c r="F189" s="9">
        <v>909</v>
      </c>
    </row>
    <row r="190" spans="1:6" x14ac:dyDescent="0.25">
      <c r="A190" s="271"/>
      <c r="B190" s="269"/>
      <c r="C190" s="270"/>
      <c r="D190" s="268"/>
      <c r="E190" s="267"/>
      <c r="F190" s="9">
        <v>920</v>
      </c>
    </row>
    <row r="191" spans="1:6" x14ac:dyDescent="0.25">
      <c r="A191" s="271"/>
      <c r="B191" s="269"/>
      <c r="C191" s="270"/>
      <c r="D191" s="268"/>
      <c r="E191" s="267">
        <v>931</v>
      </c>
      <c r="F191" s="9">
        <v>931</v>
      </c>
    </row>
    <row r="192" spans="1:6" x14ac:dyDescent="0.25">
      <c r="A192" s="271"/>
      <c r="B192" s="269"/>
      <c r="C192" s="270"/>
      <c r="D192" s="268"/>
      <c r="E192" s="267"/>
      <c r="F192" s="9">
        <v>942</v>
      </c>
    </row>
    <row r="193" spans="1:7" x14ac:dyDescent="0.25">
      <c r="A193" s="271"/>
      <c r="B193" s="269"/>
      <c r="C193" s="270"/>
      <c r="D193" s="268">
        <v>953</v>
      </c>
      <c r="E193" s="267">
        <v>953</v>
      </c>
      <c r="F193" s="9">
        <v>953</v>
      </c>
    </row>
    <row r="194" spans="1:7" x14ac:dyDescent="0.25">
      <c r="A194" s="271"/>
      <c r="B194" s="269"/>
      <c r="C194" s="270"/>
      <c r="D194" s="268"/>
      <c r="E194" s="267"/>
      <c r="F194" s="9">
        <v>965</v>
      </c>
    </row>
    <row r="195" spans="1:7" x14ac:dyDescent="0.25">
      <c r="A195" s="271"/>
      <c r="B195" s="269"/>
      <c r="C195" s="270"/>
      <c r="D195" s="268"/>
      <c r="E195" s="267">
        <v>976</v>
      </c>
      <c r="F195" s="9">
        <v>976</v>
      </c>
    </row>
    <row r="196" spans="1:7" x14ac:dyDescent="0.25">
      <c r="A196" s="271"/>
      <c r="B196" s="269"/>
      <c r="C196" s="270"/>
      <c r="D196" s="268"/>
      <c r="E196" s="267"/>
      <c r="F196" s="9">
        <v>988</v>
      </c>
    </row>
    <row r="197" spans="1:7" x14ac:dyDescent="0.25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5" x14ac:dyDescent="0.25"/>
  <cols>
    <col min="1" max="4" width="9.28515625" bestFit="1" customWidth="1"/>
  </cols>
  <sheetData>
    <row r="1" spans="1:4" ht="26.25" x14ac:dyDescent="0.4">
      <c r="A1" s="19" t="s">
        <v>72</v>
      </c>
      <c r="B1" s="19"/>
    </row>
    <row r="3" spans="1:4" x14ac:dyDescent="0.25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25">
      <c r="A4" s="18">
        <v>1</v>
      </c>
      <c r="B4" s="18">
        <v>1</v>
      </c>
      <c r="C4" s="18">
        <v>1</v>
      </c>
      <c r="D4" s="18">
        <v>1</v>
      </c>
    </row>
    <row r="5" spans="1:4" x14ac:dyDescent="0.25">
      <c r="A5" s="18">
        <v>1.1000000000000001</v>
      </c>
      <c r="B5" s="18">
        <v>1.1000000000000001</v>
      </c>
      <c r="C5" s="18">
        <v>1</v>
      </c>
      <c r="D5" s="18"/>
    </row>
    <row r="6" spans="1:4" x14ac:dyDescent="0.25">
      <c r="A6" s="18">
        <v>1.2</v>
      </c>
      <c r="B6" s="18">
        <v>1.2</v>
      </c>
      <c r="C6" s="18">
        <v>1</v>
      </c>
      <c r="D6" s="18"/>
    </row>
    <row r="7" spans="1:4" x14ac:dyDescent="0.25">
      <c r="A7" s="18">
        <v>1.3</v>
      </c>
      <c r="B7" s="18">
        <v>1.3</v>
      </c>
      <c r="C7" s="18">
        <v>1</v>
      </c>
      <c r="D7" s="18"/>
    </row>
    <row r="8" spans="1:4" x14ac:dyDescent="0.25">
      <c r="A8" s="18">
        <v>1.5</v>
      </c>
      <c r="B8" s="18">
        <v>1.5</v>
      </c>
      <c r="C8" s="18">
        <v>1.5</v>
      </c>
      <c r="D8" s="18">
        <v>1.5</v>
      </c>
    </row>
    <row r="9" spans="1:4" x14ac:dyDescent="0.25">
      <c r="A9" s="18">
        <v>1.6</v>
      </c>
      <c r="B9" s="18">
        <v>1.6</v>
      </c>
      <c r="C9" s="18">
        <v>1.5</v>
      </c>
      <c r="D9" s="18"/>
    </row>
    <row r="10" spans="1:4" x14ac:dyDescent="0.25">
      <c r="A10" s="18">
        <v>1.8</v>
      </c>
      <c r="B10" s="18">
        <v>1.8</v>
      </c>
      <c r="C10" s="18">
        <v>1.5</v>
      </c>
      <c r="D10" s="18"/>
    </row>
    <row r="11" spans="1:4" x14ac:dyDescent="0.25">
      <c r="A11" s="18">
        <v>2</v>
      </c>
      <c r="B11" s="18">
        <v>2</v>
      </c>
      <c r="C11" s="18">
        <v>1.5</v>
      </c>
      <c r="D11" s="18"/>
    </row>
    <row r="12" spans="1:4" x14ac:dyDescent="0.25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25">
      <c r="A13" s="18">
        <v>2.4</v>
      </c>
      <c r="B13" s="18">
        <v>2.4</v>
      </c>
      <c r="C13" s="18">
        <v>2.2000000000000002</v>
      </c>
      <c r="D13" s="18"/>
    </row>
    <row r="14" spans="1:4" x14ac:dyDescent="0.25">
      <c r="A14" s="18">
        <v>2.7</v>
      </c>
      <c r="B14" s="18">
        <v>2.7</v>
      </c>
      <c r="C14" s="18">
        <v>2.2000000000000002</v>
      </c>
      <c r="D14" s="18"/>
    </row>
    <row r="15" spans="1:4" x14ac:dyDescent="0.25">
      <c r="A15" s="18">
        <v>3</v>
      </c>
      <c r="B15" s="18">
        <v>3</v>
      </c>
      <c r="C15" s="18">
        <v>2.2000000000000002</v>
      </c>
      <c r="D15" s="18"/>
    </row>
    <row r="16" spans="1:4" x14ac:dyDescent="0.25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25">
      <c r="A17" s="18">
        <v>3.6</v>
      </c>
      <c r="B17" s="18">
        <v>3.6</v>
      </c>
      <c r="C17" s="18">
        <f>C18</f>
        <v>4.7</v>
      </c>
      <c r="D17" s="18"/>
    </row>
    <row r="18" spans="1:6" x14ac:dyDescent="0.25">
      <c r="A18" s="18">
        <v>3.9</v>
      </c>
      <c r="B18" s="18">
        <v>3.9</v>
      </c>
      <c r="C18" s="18">
        <f>C19</f>
        <v>4.7</v>
      </c>
      <c r="D18" s="18"/>
    </row>
    <row r="19" spans="1:6" x14ac:dyDescent="0.25">
      <c r="A19" s="18">
        <v>4.3</v>
      </c>
      <c r="B19" s="18">
        <v>4.3</v>
      </c>
      <c r="C19" s="18">
        <f>C20</f>
        <v>4.7</v>
      </c>
      <c r="D19" s="18"/>
    </row>
    <row r="20" spans="1:6" x14ac:dyDescent="0.25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25">
      <c r="A21" s="18">
        <v>5.0999999999999996</v>
      </c>
      <c r="B21" s="18">
        <v>5.0999999999999996</v>
      </c>
      <c r="C21" s="18">
        <f>C22</f>
        <v>6.8</v>
      </c>
      <c r="D21" s="18"/>
    </row>
    <row r="22" spans="1:6" x14ac:dyDescent="0.25">
      <c r="A22" s="18">
        <v>5.6</v>
      </c>
      <c r="B22" s="18">
        <v>5.6</v>
      </c>
      <c r="C22" s="18">
        <f>C23</f>
        <v>6.8</v>
      </c>
      <c r="D22" s="18"/>
    </row>
    <row r="23" spans="1:6" x14ac:dyDescent="0.25">
      <c r="A23" s="18">
        <v>6.2</v>
      </c>
      <c r="B23" s="18">
        <v>6.2</v>
      </c>
      <c r="C23" s="18">
        <f>C24</f>
        <v>6.8</v>
      </c>
      <c r="D23" s="18"/>
    </row>
    <row r="24" spans="1:6" x14ac:dyDescent="0.25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25">
      <c r="A25" s="18">
        <v>7.5</v>
      </c>
      <c r="B25" s="18">
        <v>7.5</v>
      </c>
      <c r="C25" s="18">
        <f>C26</f>
        <v>10</v>
      </c>
      <c r="D25" s="18"/>
    </row>
    <row r="26" spans="1:6" x14ac:dyDescent="0.25">
      <c r="A26" s="18">
        <v>8.1999999999999993</v>
      </c>
      <c r="B26" s="18">
        <v>8.1999999999999993</v>
      </c>
      <c r="C26" s="18">
        <f>C27</f>
        <v>10</v>
      </c>
      <c r="D26" s="18"/>
    </row>
    <row r="27" spans="1:6" x14ac:dyDescent="0.25">
      <c r="A27" s="18">
        <v>9.1</v>
      </c>
      <c r="B27" s="18">
        <v>9.1</v>
      </c>
      <c r="C27" s="18">
        <f>C28</f>
        <v>10</v>
      </c>
      <c r="D27" s="18"/>
    </row>
    <row r="28" spans="1:6" x14ac:dyDescent="0.25">
      <c r="A28" s="18">
        <v>10</v>
      </c>
      <c r="B28" s="18">
        <v>10</v>
      </c>
      <c r="C28" s="18">
        <v>10</v>
      </c>
      <c r="D28" s="18">
        <v>10</v>
      </c>
    </row>
    <row r="29" spans="1:6" x14ac:dyDescent="0.25">
      <c r="A29" s="18">
        <v>11</v>
      </c>
      <c r="B29" s="18">
        <f t="shared" ref="B29:C31" si="0">B30</f>
        <v>15</v>
      </c>
      <c r="C29" s="18">
        <f t="shared" si="0"/>
        <v>15</v>
      </c>
      <c r="D29" s="18"/>
    </row>
    <row r="30" spans="1:6" x14ac:dyDescent="0.25">
      <c r="A30" s="18">
        <v>12</v>
      </c>
      <c r="B30" s="18">
        <f t="shared" si="0"/>
        <v>15</v>
      </c>
      <c r="C30" s="18">
        <f t="shared" si="0"/>
        <v>15</v>
      </c>
      <c r="D30" s="18"/>
    </row>
    <row r="31" spans="1:6" x14ac:dyDescent="0.25">
      <c r="A31" s="18">
        <v>13</v>
      </c>
      <c r="B31" s="18">
        <f t="shared" si="0"/>
        <v>15</v>
      </c>
      <c r="C31" s="18">
        <f t="shared" si="0"/>
        <v>15</v>
      </c>
      <c r="D31" s="18"/>
    </row>
    <row r="32" spans="1:6" x14ac:dyDescent="0.25">
      <c r="A32" s="18">
        <v>15</v>
      </c>
      <c r="B32" s="18">
        <v>15</v>
      </c>
      <c r="C32" s="18">
        <v>15</v>
      </c>
      <c r="D32" s="18"/>
      <c r="F32" s="20"/>
    </row>
    <row r="33" spans="1:4" x14ac:dyDescent="0.25">
      <c r="A33" s="18">
        <v>16</v>
      </c>
      <c r="B33" s="18">
        <f t="shared" ref="B33:C35" si="1">B34</f>
        <v>22</v>
      </c>
      <c r="C33" s="18">
        <f t="shared" si="1"/>
        <v>22</v>
      </c>
      <c r="D33" s="18"/>
    </row>
    <row r="34" spans="1:4" x14ac:dyDescent="0.25">
      <c r="A34" s="18">
        <v>18</v>
      </c>
      <c r="B34" s="18">
        <f t="shared" si="1"/>
        <v>22</v>
      </c>
      <c r="C34" s="18">
        <f t="shared" si="1"/>
        <v>22</v>
      </c>
      <c r="D34" s="18"/>
    </row>
    <row r="35" spans="1:4" x14ac:dyDescent="0.25">
      <c r="A35" s="18">
        <v>20</v>
      </c>
      <c r="B35" s="18">
        <f t="shared" si="1"/>
        <v>22</v>
      </c>
      <c r="C35" s="18">
        <f t="shared" si="1"/>
        <v>22</v>
      </c>
      <c r="D35" s="18"/>
    </row>
    <row r="36" spans="1:4" x14ac:dyDescent="0.25">
      <c r="A36" s="18">
        <v>22</v>
      </c>
      <c r="B36" s="18">
        <v>22</v>
      </c>
      <c r="C36" s="18">
        <v>22</v>
      </c>
      <c r="D36" s="18"/>
    </row>
    <row r="37" spans="1:4" x14ac:dyDescent="0.25">
      <c r="A37" s="18">
        <v>24</v>
      </c>
      <c r="B37" s="18">
        <f t="shared" ref="B37:C39" si="2">B38</f>
        <v>33</v>
      </c>
      <c r="C37" s="18">
        <f t="shared" si="2"/>
        <v>33</v>
      </c>
      <c r="D37" s="18"/>
    </row>
    <row r="38" spans="1:4" x14ac:dyDescent="0.25">
      <c r="A38" s="18">
        <v>27</v>
      </c>
      <c r="B38" s="18">
        <f t="shared" si="2"/>
        <v>33</v>
      </c>
      <c r="C38" s="18">
        <f t="shared" si="2"/>
        <v>33</v>
      </c>
      <c r="D38" s="18"/>
    </row>
    <row r="39" spans="1:4" x14ac:dyDescent="0.25">
      <c r="A39" s="18">
        <v>30</v>
      </c>
      <c r="B39" s="18">
        <f t="shared" si="2"/>
        <v>33</v>
      </c>
      <c r="C39" s="18">
        <f t="shared" si="2"/>
        <v>33</v>
      </c>
      <c r="D39" s="18"/>
    </row>
    <row r="40" spans="1:4" x14ac:dyDescent="0.25">
      <c r="A40" s="18">
        <v>33</v>
      </c>
      <c r="B40" s="18">
        <v>33</v>
      </c>
      <c r="C40" s="18">
        <v>33</v>
      </c>
      <c r="D40" s="18"/>
    </row>
    <row r="41" spans="1:4" x14ac:dyDescent="0.25">
      <c r="A41" s="18">
        <v>36</v>
      </c>
      <c r="B41" s="18">
        <f t="shared" ref="B41:C43" si="3">B42</f>
        <v>47</v>
      </c>
      <c r="C41" s="18">
        <f t="shared" si="3"/>
        <v>47</v>
      </c>
      <c r="D41" s="18"/>
    </row>
    <row r="42" spans="1:4" x14ac:dyDescent="0.25">
      <c r="A42" s="18">
        <v>39</v>
      </c>
      <c r="B42" s="18">
        <f t="shared" si="3"/>
        <v>47</v>
      </c>
      <c r="C42" s="18">
        <f t="shared" si="3"/>
        <v>47</v>
      </c>
      <c r="D42" s="18"/>
    </row>
    <row r="43" spans="1:4" x14ac:dyDescent="0.25">
      <c r="A43" s="18">
        <v>43</v>
      </c>
      <c r="B43" s="18">
        <f t="shared" si="3"/>
        <v>47</v>
      </c>
      <c r="C43" s="18">
        <f t="shared" si="3"/>
        <v>47</v>
      </c>
      <c r="D43" s="18"/>
    </row>
    <row r="44" spans="1:4" x14ac:dyDescent="0.25">
      <c r="A44" s="18">
        <v>47</v>
      </c>
      <c r="B44" s="18">
        <v>47</v>
      </c>
      <c r="C44" s="18">
        <v>47</v>
      </c>
      <c r="D44" s="18"/>
    </row>
    <row r="45" spans="1:4" x14ac:dyDescent="0.25">
      <c r="A45" s="18">
        <v>51</v>
      </c>
      <c r="B45" s="18">
        <f t="shared" ref="B45:C47" si="4">B46</f>
        <v>68</v>
      </c>
      <c r="C45" s="18">
        <f t="shared" si="4"/>
        <v>68</v>
      </c>
      <c r="D45" s="18"/>
    </row>
    <row r="46" spans="1:4" x14ac:dyDescent="0.25">
      <c r="A46" s="18">
        <v>56</v>
      </c>
      <c r="B46" s="18">
        <f t="shared" si="4"/>
        <v>68</v>
      </c>
      <c r="C46" s="18">
        <f t="shared" si="4"/>
        <v>68</v>
      </c>
      <c r="D46" s="18"/>
    </row>
    <row r="47" spans="1:4" x14ac:dyDescent="0.25">
      <c r="A47" s="18">
        <v>62</v>
      </c>
      <c r="B47" s="18">
        <f t="shared" si="4"/>
        <v>68</v>
      </c>
      <c r="C47" s="18">
        <f t="shared" si="4"/>
        <v>68</v>
      </c>
      <c r="D47" s="18"/>
    </row>
    <row r="48" spans="1:4" x14ac:dyDescent="0.25">
      <c r="A48" s="18">
        <v>68</v>
      </c>
      <c r="B48" s="18">
        <v>68</v>
      </c>
      <c r="C48" s="18">
        <v>68</v>
      </c>
      <c r="D48" s="18"/>
    </row>
    <row r="49" spans="1:4" x14ac:dyDescent="0.25">
      <c r="A49" s="18">
        <v>75</v>
      </c>
      <c r="B49" s="18">
        <f t="shared" ref="B49:C51" si="5">B50</f>
        <v>100</v>
      </c>
      <c r="C49" s="18">
        <f t="shared" si="5"/>
        <v>100</v>
      </c>
      <c r="D49" s="18"/>
    </row>
    <row r="50" spans="1:4" x14ac:dyDescent="0.25">
      <c r="A50" s="18">
        <v>82</v>
      </c>
      <c r="B50" s="18">
        <f t="shared" si="5"/>
        <v>100</v>
      </c>
      <c r="C50" s="18">
        <f t="shared" si="5"/>
        <v>100</v>
      </c>
      <c r="D50" s="18"/>
    </row>
    <row r="51" spans="1:4" x14ac:dyDescent="0.25">
      <c r="A51" s="18">
        <v>91</v>
      </c>
      <c r="B51" s="18">
        <f t="shared" si="5"/>
        <v>100</v>
      </c>
      <c r="C51" s="18">
        <f t="shared" si="5"/>
        <v>100</v>
      </c>
      <c r="D51" s="18"/>
    </row>
    <row r="52" spans="1:4" x14ac:dyDescent="0.25">
      <c r="A52" s="18">
        <v>100</v>
      </c>
      <c r="B52" s="18">
        <v>100</v>
      </c>
      <c r="C52" s="18">
        <v>100</v>
      </c>
    </row>
    <row r="53" spans="1:4" x14ac:dyDescent="0.25">
      <c r="A53" s="18">
        <v>110</v>
      </c>
      <c r="B53" s="18">
        <f t="shared" ref="B53:C55" si="6">B54</f>
        <v>150</v>
      </c>
      <c r="C53" s="18">
        <f t="shared" si="6"/>
        <v>150</v>
      </c>
    </row>
    <row r="54" spans="1:4" x14ac:dyDescent="0.25">
      <c r="A54" s="18">
        <v>120</v>
      </c>
      <c r="B54" s="18">
        <f t="shared" si="6"/>
        <v>150</v>
      </c>
      <c r="C54" s="18">
        <f t="shared" si="6"/>
        <v>150</v>
      </c>
    </row>
    <row r="55" spans="1:4" x14ac:dyDescent="0.25">
      <c r="A55" s="18">
        <v>130</v>
      </c>
      <c r="B55" s="18">
        <f t="shared" si="6"/>
        <v>150</v>
      </c>
      <c r="C55" s="18">
        <f t="shared" si="6"/>
        <v>150</v>
      </c>
    </row>
    <row r="56" spans="1:4" x14ac:dyDescent="0.25">
      <c r="A56" s="18">
        <v>150</v>
      </c>
      <c r="B56" s="18">
        <v>150</v>
      </c>
      <c r="C56" s="18">
        <v>150</v>
      </c>
    </row>
    <row r="57" spans="1:4" x14ac:dyDescent="0.25">
      <c r="A57" s="18">
        <v>160</v>
      </c>
      <c r="B57" s="18">
        <f t="shared" ref="B57:C59" si="7">B58</f>
        <v>220</v>
      </c>
      <c r="C57" s="18">
        <f t="shared" si="7"/>
        <v>220</v>
      </c>
    </row>
    <row r="58" spans="1:4" x14ac:dyDescent="0.25">
      <c r="A58" s="18">
        <v>180</v>
      </c>
      <c r="B58" s="18">
        <f t="shared" si="7"/>
        <v>220</v>
      </c>
      <c r="C58" s="18">
        <f t="shared" si="7"/>
        <v>220</v>
      </c>
    </row>
    <row r="59" spans="1:4" x14ac:dyDescent="0.25">
      <c r="A59" s="18">
        <v>200</v>
      </c>
      <c r="B59" s="18">
        <f t="shared" si="7"/>
        <v>220</v>
      </c>
      <c r="C59" s="18">
        <f t="shared" si="7"/>
        <v>220</v>
      </c>
    </row>
    <row r="60" spans="1:4" x14ac:dyDescent="0.25">
      <c r="A60" s="18">
        <v>220</v>
      </c>
      <c r="B60" s="18">
        <v>220</v>
      </c>
      <c r="C60" s="18">
        <v>220</v>
      </c>
    </row>
    <row r="61" spans="1:4" x14ac:dyDescent="0.25">
      <c r="A61" s="18">
        <v>240</v>
      </c>
      <c r="B61" s="18">
        <f t="shared" ref="B61:C63" si="8">B62</f>
        <v>330</v>
      </c>
      <c r="C61" s="18">
        <f t="shared" si="8"/>
        <v>330</v>
      </c>
    </row>
    <row r="62" spans="1:4" x14ac:dyDescent="0.25">
      <c r="A62" s="18">
        <v>270</v>
      </c>
      <c r="B62" s="18">
        <f t="shared" si="8"/>
        <v>330</v>
      </c>
      <c r="C62" s="18">
        <f t="shared" si="8"/>
        <v>330</v>
      </c>
    </row>
    <row r="63" spans="1:4" x14ac:dyDescent="0.25">
      <c r="A63" s="18">
        <v>300</v>
      </c>
      <c r="B63" s="18">
        <f t="shared" si="8"/>
        <v>330</v>
      </c>
      <c r="C63" s="18">
        <f t="shared" si="8"/>
        <v>330</v>
      </c>
    </row>
    <row r="64" spans="1:4" x14ac:dyDescent="0.25">
      <c r="A64" s="18">
        <v>330</v>
      </c>
      <c r="B64" s="18">
        <v>330</v>
      </c>
      <c r="C64" s="18">
        <v>330</v>
      </c>
    </row>
    <row r="65" spans="1:3" x14ac:dyDescent="0.25">
      <c r="A65" s="18">
        <v>360</v>
      </c>
      <c r="B65" s="18">
        <f t="shared" ref="B65:C67" si="9">B66</f>
        <v>470</v>
      </c>
      <c r="C65" s="18">
        <f t="shared" si="9"/>
        <v>470</v>
      </c>
    </row>
    <row r="66" spans="1:3" x14ac:dyDescent="0.25">
      <c r="A66" s="18">
        <v>390</v>
      </c>
      <c r="B66" s="18">
        <f t="shared" si="9"/>
        <v>470</v>
      </c>
      <c r="C66" s="18">
        <f t="shared" si="9"/>
        <v>470</v>
      </c>
    </row>
    <row r="67" spans="1:3" x14ac:dyDescent="0.25">
      <c r="A67" s="18">
        <v>430</v>
      </c>
      <c r="B67" s="18">
        <f t="shared" si="9"/>
        <v>470</v>
      </c>
      <c r="C67" s="18">
        <f t="shared" si="9"/>
        <v>470</v>
      </c>
    </row>
    <row r="68" spans="1:3" x14ac:dyDescent="0.25">
      <c r="A68" s="18">
        <v>470</v>
      </c>
      <c r="B68" s="18">
        <v>470</v>
      </c>
      <c r="C68" s="18">
        <v>470</v>
      </c>
    </row>
    <row r="69" spans="1:3" x14ac:dyDescent="0.25">
      <c r="A69" s="18">
        <v>510</v>
      </c>
      <c r="B69" s="18">
        <f t="shared" ref="B69:C71" si="10">B70</f>
        <v>680</v>
      </c>
      <c r="C69" s="18">
        <f t="shared" si="10"/>
        <v>680</v>
      </c>
    </row>
    <row r="70" spans="1:3" x14ac:dyDescent="0.25">
      <c r="A70" s="18">
        <v>560</v>
      </c>
      <c r="B70" s="18">
        <f t="shared" si="10"/>
        <v>680</v>
      </c>
      <c r="C70" s="18">
        <f t="shared" si="10"/>
        <v>680</v>
      </c>
    </row>
    <row r="71" spans="1:3" x14ac:dyDescent="0.25">
      <c r="A71" s="18">
        <v>620</v>
      </c>
      <c r="B71" s="18">
        <f t="shared" si="10"/>
        <v>680</v>
      </c>
      <c r="C71" s="18">
        <f t="shared" si="10"/>
        <v>680</v>
      </c>
    </row>
    <row r="72" spans="1:3" x14ac:dyDescent="0.25">
      <c r="A72" s="18">
        <v>680</v>
      </c>
      <c r="B72" s="18">
        <v>680</v>
      </c>
      <c r="C72" s="18">
        <v>680</v>
      </c>
    </row>
    <row r="73" spans="1:3" x14ac:dyDescent="0.25">
      <c r="A73" s="18">
        <v>750</v>
      </c>
      <c r="B73" s="18">
        <f>B74</f>
        <v>1000</v>
      </c>
      <c r="C73" s="18">
        <f>C74</f>
        <v>1000</v>
      </c>
    </row>
    <row r="74" spans="1:3" x14ac:dyDescent="0.25">
      <c r="A74" s="18">
        <v>820</v>
      </c>
      <c r="B74" s="18">
        <f>B75</f>
        <v>1000</v>
      </c>
      <c r="C74" s="18">
        <f>C75</f>
        <v>1000</v>
      </c>
    </row>
    <row r="75" spans="1:3" x14ac:dyDescent="0.25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5" x14ac:dyDescent="0.25"/>
  <cols>
    <col min="6" max="6" width="12.85546875" customWidth="1"/>
  </cols>
  <sheetData>
    <row r="1" spans="1:7" x14ac:dyDescent="0.25">
      <c r="A1">
        <v>0</v>
      </c>
      <c r="B1">
        <v>4</v>
      </c>
    </row>
    <row r="2" spans="1:7" x14ac:dyDescent="0.25">
      <c r="A2">
        <v>1</v>
      </c>
      <c r="B2">
        <v>4</v>
      </c>
      <c r="E2" s="2"/>
      <c r="G2" s="154"/>
    </row>
    <row r="3" spans="1:7" x14ac:dyDescent="0.25">
      <c r="A3">
        <v>2</v>
      </c>
      <c r="B3">
        <v>4</v>
      </c>
      <c r="E3" s="154"/>
      <c r="G3" s="2"/>
    </row>
    <row r="4" spans="1:7" x14ac:dyDescent="0.25">
      <c r="A4">
        <v>3</v>
      </c>
      <c r="B4">
        <v>4</v>
      </c>
      <c r="E4" s="154"/>
    </row>
    <row r="5" spans="1:7" x14ac:dyDescent="0.25">
      <c r="A5">
        <v>4</v>
      </c>
      <c r="B5">
        <v>16</v>
      </c>
      <c r="D5" s="273" t="s">
        <v>211</v>
      </c>
      <c r="E5" s="273"/>
      <c r="F5" s="155">
        <f>IF('Calculation Sheet'!G90="Infinite", "Infinite", VLOOKUP('Calculation Sheet'!G90,A1:B1024,2,TRUE))</f>
        <v>4</v>
      </c>
    </row>
    <row r="6" spans="1:7" x14ac:dyDescent="0.25">
      <c r="A6">
        <v>5</v>
      </c>
      <c r="B6">
        <v>16</v>
      </c>
    </row>
    <row r="7" spans="1:7" x14ac:dyDescent="0.25">
      <c r="A7">
        <v>6</v>
      </c>
      <c r="B7">
        <v>16</v>
      </c>
    </row>
    <row r="8" spans="1:7" x14ac:dyDescent="0.25">
      <c r="A8">
        <v>7</v>
      </c>
      <c r="B8">
        <v>16</v>
      </c>
    </row>
    <row r="9" spans="1:7" x14ac:dyDescent="0.25">
      <c r="A9">
        <v>8</v>
      </c>
      <c r="B9">
        <v>16</v>
      </c>
    </row>
    <row r="10" spans="1:7" x14ac:dyDescent="0.25">
      <c r="A10">
        <v>9</v>
      </c>
      <c r="B10">
        <v>16</v>
      </c>
    </row>
    <row r="11" spans="1:7" x14ac:dyDescent="0.25">
      <c r="A11">
        <v>10</v>
      </c>
      <c r="B11">
        <v>16</v>
      </c>
    </row>
    <row r="12" spans="1:7" x14ac:dyDescent="0.25">
      <c r="A12">
        <v>11</v>
      </c>
      <c r="B12">
        <v>16</v>
      </c>
    </row>
    <row r="13" spans="1:7" x14ac:dyDescent="0.25">
      <c r="A13">
        <v>12</v>
      </c>
      <c r="B13">
        <v>16</v>
      </c>
    </row>
    <row r="14" spans="1:7" x14ac:dyDescent="0.25">
      <c r="A14">
        <v>13</v>
      </c>
      <c r="B14">
        <v>16</v>
      </c>
    </row>
    <row r="15" spans="1:7" x14ac:dyDescent="0.25">
      <c r="A15">
        <v>14</v>
      </c>
      <c r="B15">
        <v>16</v>
      </c>
    </row>
    <row r="16" spans="1:7" x14ac:dyDescent="0.25">
      <c r="A16">
        <v>15</v>
      </c>
      <c r="B16">
        <v>16</v>
      </c>
    </row>
    <row r="17" spans="1:2" x14ac:dyDescent="0.25">
      <c r="A17">
        <v>16</v>
      </c>
      <c r="B17">
        <v>64</v>
      </c>
    </row>
    <row r="18" spans="1:2" x14ac:dyDescent="0.25">
      <c r="A18">
        <v>17</v>
      </c>
      <c r="B18">
        <v>64</v>
      </c>
    </row>
    <row r="19" spans="1:2" x14ac:dyDescent="0.25">
      <c r="A19">
        <v>18</v>
      </c>
      <c r="B19">
        <v>64</v>
      </c>
    </row>
    <row r="20" spans="1:2" x14ac:dyDescent="0.25">
      <c r="A20">
        <v>19</v>
      </c>
      <c r="B20">
        <v>64</v>
      </c>
    </row>
    <row r="21" spans="1:2" x14ac:dyDescent="0.25">
      <c r="A21">
        <v>20</v>
      </c>
      <c r="B21">
        <v>64</v>
      </c>
    </row>
    <row r="22" spans="1:2" x14ac:dyDescent="0.25">
      <c r="A22">
        <v>21</v>
      </c>
      <c r="B22">
        <v>64</v>
      </c>
    </row>
    <row r="23" spans="1:2" x14ac:dyDescent="0.25">
      <c r="A23">
        <v>22</v>
      </c>
      <c r="B23">
        <v>64</v>
      </c>
    </row>
    <row r="24" spans="1:2" x14ac:dyDescent="0.25">
      <c r="A24">
        <v>23</v>
      </c>
      <c r="B24">
        <v>64</v>
      </c>
    </row>
    <row r="25" spans="1:2" x14ac:dyDescent="0.25">
      <c r="A25">
        <v>24</v>
      </c>
      <c r="B25">
        <v>64</v>
      </c>
    </row>
    <row r="26" spans="1:2" x14ac:dyDescent="0.25">
      <c r="A26">
        <v>25</v>
      </c>
      <c r="B26">
        <v>64</v>
      </c>
    </row>
    <row r="27" spans="1:2" x14ac:dyDescent="0.25">
      <c r="A27">
        <v>26</v>
      </c>
      <c r="B27">
        <v>64</v>
      </c>
    </row>
    <row r="28" spans="1:2" x14ac:dyDescent="0.25">
      <c r="A28">
        <v>27</v>
      </c>
      <c r="B28">
        <v>64</v>
      </c>
    </row>
    <row r="29" spans="1:2" x14ac:dyDescent="0.25">
      <c r="A29">
        <v>28</v>
      </c>
      <c r="B29">
        <v>64</v>
      </c>
    </row>
    <row r="30" spans="1:2" x14ac:dyDescent="0.25">
      <c r="A30">
        <v>29</v>
      </c>
      <c r="B30">
        <v>64</v>
      </c>
    </row>
    <row r="31" spans="1:2" x14ac:dyDescent="0.25">
      <c r="A31">
        <v>30</v>
      </c>
      <c r="B31">
        <v>64</v>
      </c>
    </row>
    <row r="32" spans="1:2" x14ac:dyDescent="0.25">
      <c r="A32">
        <v>31</v>
      </c>
      <c r="B32">
        <v>64</v>
      </c>
    </row>
    <row r="33" spans="1:2" x14ac:dyDescent="0.25">
      <c r="A33">
        <v>32</v>
      </c>
      <c r="B33">
        <v>64</v>
      </c>
    </row>
    <row r="34" spans="1:2" x14ac:dyDescent="0.25">
      <c r="A34">
        <v>33</v>
      </c>
      <c r="B34">
        <v>64</v>
      </c>
    </row>
    <row r="35" spans="1:2" x14ac:dyDescent="0.25">
      <c r="A35">
        <v>34</v>
      </c>
      <c r="B35">
        <v>64</v>
      </c>
    </row>
    <row r="36" spans="1:2" x14ac:dyDescent="0.25">
      <c r="A36">
        <v>35</v>
      </c>
      <c r="B36">
        <v>64</v>
      </c>
    </row>
    <row r="37" spans="1:2" x14ac:dyDescent="0.25">
      <c r="A37">
        <v>36</v>
      </c>
      <c r="B37">
        <v>64</v>
      </c>
    </row>
    <row r="38" spans="1:2" x14ac:dyDescent="0.25">
      <c r="A38">
        <v>37</v>
      </c>
      <c r="B38">
        <v>64</v>
      </c>
    </row>
    <row r="39" spans="1:2" x14ac:dyDescent="0.25">
      <c r="A39">
        <v>38</v>
      </c>
      <c r="B39">
        <v>64</v>
      </c>
    </row>
    <row r="40" spans="1:2" x14ac:dyDescent="0.25">
      <c r="A40">
        <v>39</v>
      </c>
      <c r="B40">
        <v>64</v>
      </c>
    </row>
    <row r="41" spans="1:2" x14ac:dyDescent="0.25">
      <c r="A41">
        <v>40</v>
      </c>
      <c r="B41">
        <v>64</v>
      </c>
    </row>
    <row r="42" spans="1:2" x14ac:dyDescent="0.25">
      <c r="A42">
        <v>41</v>
      </c>
      <c r="B42">
        <v>64</v>
      </c>
    </row>
    <row r="43" spans="1:2" x14ac:dyDescent="0.25">
      <c r="A43">
        <v>42</v>
      </c>
      <c r="B43">
        <v>64</v>
      </c>
    </row>
    <row r="44" spans="1:2" x14ac:dyDescent="0.25">
      <c r="A44">
        <v>43</v>
      </c>
      <c r="B44">
        <v>64</v>
      </c>
    </row>
    <row r="45" spans="1:2" x14ac:dyDescent="0.25">
      <c r="A45">
        <v>44</v>
      </c>
      <c r="B45">
        <v>64</v>
      </c>
    </row>
    <row r="46" spans="1:2" x14ac:dyDescent="0.25">
      <c r="A46">
        <v>45</v>
      </c>
      <c r="B46">
        <v>64</v>
      </c>
    </row>
    <row r="47" spans="1:2" x14ac:dyDescent="0.25">
      <c r="A47">
        <v>46</v>
      </c>
      <c r="B47">
        <v>64</v>
      </c>
    </row>
    <row r="48" spans="1:2" x14ac:dyDescent="0.25">
      <c r="A48">
        <v>47</v>
      </c>
      <c r="B48">
        <v>64</v>
      </c>
    </row>
    <row r="49" spans="1:2" x14ac:dyDescent="0.25">
      <c r="A49">
        <v>48</v>
      </c>
      <c r="B49">
        <v>64</v>
      </c>
    </row>
    <row r="50" spans="1:2" x14ac:dyDescent="0.25">
      <c r="A50">
        <v>49</v>
      </c>
      <c r="B50">
        <v>64</v>
      </c>
    </row>
    <row r="51" spans="1:2" x14ac:dyDescent="0.25">
      <c r="A51">
        <v>50</v>
      </c>
      <c r="B51">
        <v>64</v>
      </c>
    </row>
    <row r="52" spans="1:2" x14ac:dyDescent="0.25">
      <c r="A52">
        <v>51</v>
      </c>
      <c r="B52">
        <v>64</v>
      </c>
    </row>
    <row r="53" spans="1:2" x14ac:dyDescent="0.25">
      <c r="A53">
        <v>52</v>
      </c>
      <c r="B53">
        <v>64</v>
      </c>
    </row>
    <row r="54" spans="1:2" x14ac:dyDescent="0.25">
      <c r="A54">
        <v>53</v>
      </c>
      <c r="B54">
        <v>64</v>
      </c>
    </row>
    <row r="55" spans="1:2" x14ac:dyDescent="0.25">
      <c r="A55">
        <v>54</v>
      </c>
      <c r="B55">
        <v>64</v>
      </c>
    </row>
    <row r="56" spans="1:2" x14ac:dyDescent="0.25">
      <c r="A56">
        <v>55</v>
      </c>
      <c r="B56">
        <v>64</v>
      </c>
    </row>
    <row r="57" spans="1:2" x14ac:dyDescent="0.25">
      <c r="A57">
        <v>56</v>
      </c>
      <c r="B57">
        <v>64</v>
      </c>
    </row>
    <row r="58" spans="1:2" x14ac:dyDescent="0.25">
      <c r="A58">
        <v>57</v>
      </c>
      <c r="B58">
        <v>64</v>
      </c>
    </row>
    <row r="59" spans="1:2" x14ac:dyDescent="0.25">
      <c r="A59">
        <v>58</v>
      </c>
      <c r="B59">
        <v>64</v>
      </c>
    </row>
    <row r="60" spans="1:2" x14ac:dyDescent="0.25">
      <c r="A60">
        <v>59</v>
      </c>
      <c r="B60">
        <v>64</v>
      </c>
    </row>
    <row r="61" spans="1:2" x14ac:dyDescent="0.25">
      <c r="A61">
        <v>60</v>
      </c>
      <c r="B61">
        <v>64</v>
      </c>
    </row>
    <row r="62" spans="1:2" x14ac:dyDescent="0.25">
      <c r="A62">
        <v>61</v>
      </c>
      <c r="B62">
        <v>64</v>
      </c>
    </row>
    <row r="63" spans="1:2" x14ac:dyDescent="0.25">
      <c r="A63">
        <v>62</v>
      </c>
      <c r="B63">
        <v>64</v>
      </c>
    </row>
    <row r="64" spans="1:2" x14ac:dyDescent="0.25">
      <c r="A64">
        <v>63</v>
      </c>
      <c r="B64">
        <v>64</v>
      </c>
    </row>
    <row r="65" spans="1:2" x14ac:dyDescent="0.25">
      <c r="A65">
        <v>64</v>
      </c>
      <c r="B65">
        <v>256</v>
      </c>
    </row>
    <row r="66" spans="1:2" x14ac:dyDescent="0.25">
      <c r="A66">
        <v>65</v>
      </c>
      <c r="B66">
        <v>256</v>
      </c>
    </row>
    <row r="67" spans="1:2" x14ac:dyDescent="0.25">
      <c r="A67">
        <v>66</v>
      </c>
      <c r="B67">
        <v>256</v>
      </c>
    </row>
    <row r="68" spans="1:2" x14ac:dyDescent="0.25">
      <c r="A68">
        <v>67</v>
      </c>
      <c r="B68">
        <v>256</v>
      </c>
    </row>
    <row r="69" spans="1:2" x14ac:dyDescent="0.25">
      <c r="A69">
        <v>68</v>
      </c>
      <c r="B69">
        <v>256</v>
      </c>
    </row>
    <row r="70" spans="1:2" x14ac:dyDescent="0.25">
      <c r="A70">
        <v>69</v>
      </c>
      <c r="B70">
        <v>256</v>
      </c>
    </row>
    <row r="71" spans="1:2" x14ac:dyDescent="0.25">
      <c r="A71">
        <v>70</v>
      </c>
      <c r="B71">
        <v>256</v>
      </c>
    </row>
    <row r="72" spans="1:2" x14ac:dyDescent="0.25">
      <c r="A72">
        <v>71</v>
      </c>
      <c r="B72">
        <v>256</v>
      </c>
    </row>
    <row r="73" spans="1:2" x14ac:dyDescent="0.25">
      <c r="A73">
        <v>72</v>
      </c>
      <c r="B73">
        <v>256</v>
      </c>
    </row>
    <row r="74" spans="1:2" x14ac:dyDescent="0.25">
      <c r="A74">
        <v>73</v>
      </c>
      <c r="B74">
        <v>256</v>
      </c>
    </row>
    <row r="75" spans="1:2" x14ac:dyDescent="0.25">
      <c r="A75">
        <v>74</v>
      </c>
      <c r="B75">
        <v>256</v>
      </c>
    </row>
    <row r="76" spans="1:2" x14ac:dyDescent="0.25">
      <c r="A76">
        <v>75</v>
      </c>
      <c r="B76">
        <v>256</v>
      </c>
    </row>
    <row r="77" spans="1:2" x14ac:dyDescent="0.25">
      <c r="A77">
        <v>76</v>
      </c>
      <c r="B77">
        <v>256</v>
      </c>
    </row>
    <row r="78" spans="1:2" x14ac:dyDescent="0.25">
      <c r="A78">
        <v>77</v>
      </c>
      <c r="B78">
        <v>256</v>
      </c>
    </row>
    <row r="79" spans="1:2" x14ac:dyDescent="0.25">
      <c r="A79">
        <v>78</v>
      </c>
      <c r="B79">
        <v>256</v>
      </c>
    </row>
    <row r="80" spans="1:2" x14ac:dyDescent="0.25">
      <c r="A80">
        <v>79</v>
      </c>
      <c r="B80">
        <v>256</v>
      </c>
    </row>
    <row r="81" spans="1:2" x14ac:dyDescent="0.25">
      <c r="A81">
        <v>80</v>
      </c>
      <c r="B81">
        <v>256</v>
      </c>
    </row>
    <row r="82" spans="1:2" x14ac:dyDescent="0.25">
      <c r="A82">
        <v>81</v>
      </c>
      <c r="B82">
        <v>256</v>
      </c>
    </row>
    <row r="83" spans="1:2" x14ac:dyDescent="0.25">
      <c r="A83">
        <v>82</v>
      </c>
      <c r="B83">
        <v>256</v>
      </c>
    </row>
    <row r="84" spans="1:2" x14ac:dyDescent="0.25">
      <c r="A84">
        <v>83</v>
      </c>
      <c r="B84">
        <v>256</v>
      </c>
    </row>
    <row r="85" spans="1:2" x14ac:dyDescent="0.25">
      <c r="A85">
        <v>84</v>
      </c>
      <c r="B85">
        <v>256</v>
      </c>
    </row>
    <row r="86" spans="1:2" x14ac:dyDescent="0.25">
      <c r="A86">
        <v>85</v>
      </c>
      <c r="B86">
        <v>256</v>
      </c>
    </row>
    <row r="87" spans="1:2" x14ac:dyDescent="0.25">
      <c r="A87">
        <v>86</v>
      </c>
      <c r="B87">
        <v>256</v>
      </c>
    </row>
    <row r="88" spans="1:2" x14ac:dyDescent="0.25">
      <c r="A88">
        <v>87</v>
      </c>
      <c r="B88">
        <v>256</v>
      </c>
    </row>
    <row r="89" spans="1:2" x14ac:dyDescent="0.25">
      <c r="A89">
        <v>88</v>
      </c>
      <c r="B89">
        <v>256</v>
      </c>
    </row>
    <row r="90" spans="1:2" x14ac:dyDescent="0.25">
      <c r="A90">
        <v>89</v>
      </c>
      <c r="B90">
        <v>256</v>
      </c>
    </row>
    <row r="91" spans="1:2" x14ac:dyDescent="0.25">
      <c r="A91">
        <v>90</v>
      </c>
      <c r="B91">
        <v>256</v>
      </c>
    </row>
    <row r="92" spans="1:2" x14ac:dyDescent="0.25">
      <c r="A92">
        <v>91</v>
      </c>
      <c r="B92">
        <v>256</v>
      </c>
    </row>
    <row r="93" spans="1:2" x14ac:dyDescent="0.25">
      <c r="A93">
        <v>92</v>
      </c>
      <c r="B93">
        <v>256</v>
      </c>
    </row>
    <row r="94" spans="1:2" x14ac:dyDescent="0.25">
      <c r="A94">
        <v>93</v>
      </c>
      <c r="B94">
        <v>256</v>
      </c>
    </row>
    <row r="95" spans="1:2" x14ac:dyDescent="0.25">
      <c r="A95">
        <v>94</v>
      </c>
      <c r="B95">
        <v>256</v>
      </c>
    </row>
    <row r="96" spans="1:2" x14ac:dyDescent="0.25">
      <c r="A96">
        <v>95</v>
      </c>
      <c r="B96">
        <v>256</v>
      </c>
    </row>
    <row r="97" spans="1:2" x14ac:dyDescent="0.25">
      <c r="A97">
        <v>96</v>
      </c>
      <c r="B97">
        <v>256</v>
      </c>
    </row>
    <row r="98" spans="1:2" x14ac:dyDescent="0.25">
      <c r="A98">
        <v>97</v>
      </c>
      <c r="B98">
        <v>256</v>
      </c>
    </row>
    <row r="99" spans="1:2" x14ac:dyDescent="0.25">
      <c r="A99">
        <v>98</v>
      </c>
      <c r="B99">
        <v>256</v>
      </c>
    </row>
    <row r="100" spans="1:2" x14ac:dyDescent="0.25">
      <c r="A100">
        <v>99</v>
      </c>
      <c r="B100">
        <v>256</v>
      </c>
    </row>
    <row r="101" spans="1:2" x14ac:dyDescent="0.25">
      <c r="A101">
        <v>100</v>
      </c>
      <c r="B101">
        <v>256</v>
      </c>
    </row>
    <row r="102" spans="1:2" x14ac:dyDescent="0.25">
      <c r="A102">
        <v>101</v>
      </c>
      <c r="B102">
        <v>256</v>
      </c>
    </row>
    <row r="103" spans="1:2" x14ac:dyDescent="0.25">
      <c r="A103">
        <v>102</v>
      </c>
      <c r="B103">
        <v>256</v>
      </c>
    </row>
    <row r="104" spans="1:2" x14ac:dyDescent="0.25">
      <c r="A104">
        <v>103</v>
      </c>
      <c r="B104">
        <v>256</v>
      </c>
    </row>
    <row r="105" spans="1:2" x14ac:dyDescent="0.25">
      <c r="A105">
        <v>104</v>
      </c>
      <c r="B105">
        <v>256</v>
      </c>
    </row>
    <row r="106" spans="1:2" x14ac:dyDescent="0.25">
      <c r="A106">
        <v>105</v>
      </c>
      <c r="B106">
        <v>256</v>
      </c>
    </row>
    <row r="107" spans="1:2" x14ac:dyDescent="0.25">
      <c r="A107">
        <v>106</v>
      </c>
      <c r="B107">
        <v>256</v>
      </c>
    </row>
    <row r="108" spans="1:2" x14ac:dyDescent="0.25">
      <c r="A108">
        <v>107</v>
      </c>
      <c r="B108">
        <v>256</v>
      </c>
    </row>
    <row r="109" spans="1:2" x14ac:dyDescent="0.25">
      <c r="A109">
        <v>108</v>
      </c>
      <c r="B109">
        <v>256</v>
      </c>
    </row>
    <row r="110" spans="1:2" x14ac:dyDescent="0.25">
      <c r="A110">
        <v>109</v>
      </c>
      <c r="B110">
        <v>256</v>
      </c>
    </row>
    <row r="111" spans="1:2" x14ac:dyDescent="0.25">
      <c r="A111">
        <v>110</v>
      </c>
      <c r="B111">
        <v>256</v>
      </c>
    </row>
    <row r="112" spans="1:2" x14ac:dyDescent="0.25">
      <c r="A112">
        <v>111</v>
      </c>
      <c r="B112">
        <v>256</v>
      </c>
    </row>
    <row r="113" spans="1:2" x14ac:dyDescent="0.25">
      <c r="A113">
        <v>112</v>
      </c>
      <c r="B113">
        <v>256</v>
      </c>
    </row>
    <row r="114" spans="1:2" x14ac:dyDescent="0.25">
      <c r="A114">
        <v>113</v>
      </c>
      <c r="B114">
        <v>256</v>
      </c>
    </row>
    <row r="115" spans="1:2" x14ac:dyDescent="0.25">
      <c r="A115">
        <v>114</v>
      </c>
      <c r="B115">
        <v>256</v>
      </c>
    </row>
    <row r="116" spans="1:2" x14ac:dyDescent="0.25">
      <c r="A116">
        <v>115</v>
      </c>
      <c r="B116">
        <v>256</v>
      </c>
    </row>
    <row r="117" spans="1:2" x14ac:dyDescent="0.25">
      <c r="A117">
        <v>116</v>
      </c>
      <c r="B117">
        <v>256</v>
      </c>
    </row>
    <row r="118" spans="1:2" x14ac:dyDescent="0.25">
      <c r="A118">
        <v>117</v>
      </c>
      <c r="B118">
        <v>256</v>
      </c>
    </row>
    <row r="119" spans="1:2" x14ac:dyDescent="0.25">
      <c r="A119">
        <v>118</v>
      </c>
      <c r="B119">
        <v>256</v>
      </c>
    </row>
    <row r="120" spans="1:2" x14ac:dyDescent="0.25">
      <c r="A120">
        <v>119</v>
      </c>
      <c r="B120">
        <v>256</v>
      </c>
    </row>
    <row r="121" spans="1:2" x14ac:dyDescent="0.25">
      <c r="A121">
        <v>120</v>
      </c>
      <c r="B121">
        <v>256</v>
      </c>
    </row>
    <row r="122" spans="1:2" x14ac:dyDescent="0.25">
      <c r="A122">
        <v>121</v>
      </c>
      <c r="B122">
        <v>256</v>
      </c>
    </row>
    <row r="123" spans="1:2" x14ac:dyDescent="0.25">
      <c r="A123">
        <v>122</v>
      </c>
      <c r="B123">
        <v>256</v>
      </c>
    </row>
    <row r="124" spans="1:2" x14ac:dyDescent="0.25">
      <c r="A124">
        <v>123</v>
      </c>
      <c r="B124">
        <v>256</v>
      </c>
    </row>
    <row r="125" spans="1:2" x14ac:dyDescent="0.25">
      <c r="A125">
        <v>124</v>
      </c>
      <c r="B125">
        <v>256</v>
      </c>
    </row>
    <row r="126" spans="1:2" x14ac:dyDescent="0.25">
      <c r="A126">
        <v>125</v>
      </c>
      <c r="B126">
        <v>256</v>
      </c>
    </row>
    <row r="127" spans="1:2" x14ac:dyDescent="0.25">
      <c r="A127">
        <v>126</v>
      </c>
      <c r="B127">
        <v>256</v>
      </c>
    </row>
    <row r="128" spans="1:2" x14ac:dyDescent="0.25">
      <c r="A128">
        <v>127</v>
      </c>
      <c r="B128">
        <v>256</v>
      </c>
    </row>
    <row r="129" spans="1:2" x14ac:dyDescent="0.25">
      <c r="A129">
        <v>128</v>
      </c>
      <c r="B129">
        <v>256</v>
      </c>
    </row>
    <row r="130" spans="1:2" x14ac:dyDescent="0.25">
      <c r="A130">
        <v>129</v>
      </c>
      <c r="B130">
        <v>256</v>
      </c>
    </row>
    <row r="131" spans="1:2" x14ac:dyDescent="0.25">
      <c r="A131">
        <v>130</v>
      </c>
      <c r="B131">
        <v>256</v>
      </c>
    </row>
    <row r="132" spans="1:2" x14ac:dyDescent="0.25">
      <c r="A132">
        <v>131</v>
      </c>
      <c r="B132">
        <v>256</v>
      </c>
    </row>
    <row r="133" spans="1:2" x14ac:dyDescent="0.25">
      <c r="A133">
        <v>132</v>
      </c>
      <c r="B133">
        <v>256</v>
      </c>
    </row>
    <row r="134" spans="1:2" x14ac:dyDescent="0.25">
      <c r="A134">
        <v>133</v>
      </c>
      <c r="B134">
        <v>256</v>
      </c>
    </row>
    <row r="135" spans="1:2" x14ac:dyDescent="0.25">
      <c r="A135">
        <v>134</v>
      </c>
      <c r="B135">
        <v>256</v>
      </c>
    </row>
    <row r="136" spans="1:2" x14ac:dyDescent="0.25">
      <c r="A136">
        <v>135</v>
      </c>
      <c r="B136">
        <v>256</v>
      </c>
    </row>
    <row r="137" spans="1:2" x14ac:dyDescent="0.25">
      <c r="A137">
        <v>136</v>
      </c>
      <c r="B137">
        <v>256</v>
      </c>
    </row>
    <row r="138" spans="1:2" x14ac:dyDescent="0.25">
      <c r="A138">
        <v>137</v>
      </c>
      <c r="B138">
        <v>256</v>
      </c>
    </row>
    <row r="139" spans="1:2" x14ac:dyDescent="0.25">
      <c r="A139">
        <v>138</v>
      </c>
      <c r="B139">
        <v>256</v>
      </c>
    </row>
    <row r="140" spans="1:2" x14ac:dyDescent="0.25">
      <c r="A140">
        <v>139</v>
      </c>
      <c r="B140">
        <v>256</v>
      </c>
    </row>
    <row r="141" spans="1:2" x14ac:dyDescent="0.25">
      <c r="A141">
        <v>140</v>
      </c>
      <c r="B141">
        <v>256</v>
      </c>
    </row>
    <row r="142" spans="1:2" x14ac:dyDescent="0.25">
      <c r="A142">
        <v>141</v>
      </c>
      <c r="B142">
        <v>256</v>
      </c>
    </row>
    <row r="143" spans="1:2" x14ac:dyDescent="0.25">
      <c r="A143">
        <v>142</v>
      </c>
      <c r="B143">
        <v>256</v>
      </c>
    </row>
    <row r="144" spans="1:2" x14ac:dyDescent="0.25">
      <c r="A144">
        <v>143</v>
      </c>
      <c r="B144">
        <v>256</v>
      </c>
    </row>
    <row r="145" spans="1:2" x14ac:dyDescent="0.25">
      <c r="A145">
        <v>144</v>
      </c>
      <c r="B145">
        <v>256</v>
      </c>
    </row>
    <row r="146" spans="1:2" x14ac:dyDescent="0.25">
      <c r="A146">
        <v>145</v>
      </c>
      <c r="B146">
        <v>256</v>
      </c>
    </row>
    <row r="147" spans="1:2" x14ac:dyDescent="0.25">
      <c r="A147">
        <v>146</v>
      </c>
      <c r="B147">
        <v>256</v>
      </c>
    </row>
    <row r="148" spans="1:2" x14ac:dyDescent="0.25">
      <c r="A148">
        <v>147</v>
      </c>
      <c r="B148">
        <v>256</v>
      </c>
    </row>
    <row r="149" spans="1:2" x14ac:dyDescent="0.25">
      <c r="A149">
        <v>148</v>
      </c>
      <c r="B149">
        <v>256</v>
      </c>
    </row>
    <row r="150" spans="1:2" x14ac:dyDescent="0.25">
      <c r="A150">
        <v>149</v>
      </c>
      <c r="B150">
        <v>256</v>
      </c>
    </row>
    <row r="151" spans="1:2" x14ac:dyDescent="0.25">
      <c r="A151">
        <v>150</v>
      </c>
      <c r="B151">
        <v>256</v>
      </c>
    </row>
    <row r="152" spans="1:2" x14ac:dyDescent="0.25">
      <c r="A152">
        <v>151</v>
      </c>
      <c r="B152">
        <v>256</v>
      </c>
    </row>
    <row r="153" spans="1:2" x14ac:dyDescent="0.25">
      <c r="A153">
        <v>152</v>
      </c>
      <c r="B153">
        <v>256</v>
      </c>
    </row>
    <row r="154" spans="1:2" x14ac:dyDescent="0.25">
      <c r="A154">
        <v>153</v>
      </c>
      <c r="B154">
        <v>256</v>
      </c>
    </row>
    <row r="155" spans="1:2" x14ac:dyDescent="0.25">
      <c r="A155">
        <v>154</v>
      </c>
      <c r="B155">
        <v>256</v>
      </c>
    </row>
    <row r="156" spans="1:2" x14ac:dyDescent="0.25">
      <c r="A156">
        <v>155</v>
      </c>
      <c r="B156">
        <v>256</v>
      </c>
    </row>
    <row r="157" spans="1:2" x14ac:dyDescent="0.25">
      <c r="A157">
        <v>156</v>
      </c>
      <c r="B157">
        <v>256</v>
      </c>
    </row>
    <row r="158" spans="1:2" x14ac:dyDescent="0.25">
      <c r="A158">
        <v>157</v>
      </c>
      <c r="B158">
        <v>256</v>
      </c>
    </row>
    <row r="159" spans="1:2" x14ac:dyDescent="0.25">
      <c r="A159">
        <v>158</v>
      </c>
      <c r="B159">
        <v>256</v>
      </c>
    </row>
    <row r="160" spans="1:2" x14ac:dyDescent="0.25">
      <c r="A160">
        <v>159</v>
      </c>
      <c r="B160">
        <v>256</v>
      </c>
    </row>
    <row r="161" spans="1:2" x14ac:dyDescent="0.25">
      <c r="A161">
        <v>160</v>
      </c>
      <c r="B161">
        <v>256</v>
      </c>
    </row>
    <row r="162" spans="1:2" x14ac:dyDescent="0.25">
      <c r="A162">
        <v>161</v>
      </c>
      <c r="B162">
        <v>256</v>
      </c>
    </row>
    <row r="163" spans="1:2" x14ac:dyDescent="0.25">
      <c r="A163">
        <v>162</v>
      </c>
      <c r="B163">
        <v>256</v>
      </c>
    </row>
    <row r="164" spans="1:2" x14ac:dyDescent="0.25">
      <c r="A164">
        <v>163</v>
      </c>
      <c r="B164">
        <v>256</v>
      </c>
    </row>
    <row r="165" spans="1:2" x14ac:dyDescent="0.25">
      <c r="A165">
        <v>164</v>
      </c>
      <c r="B165">
        <v>256</v>
      </c>
    </row>
    <row r="166" spans="1:2" x14ac:dyDescent="0.25">
      <c r="A166">
        <v>165</v>
      </c>
      <c r="B166">
        <v>256</v>
      </c>
    </row>
    <row r="167" spans="1:2" x14ac:dyDescent="0.25">
      <c r="A167">
        <v>166</v>
      </c>
      <c r="B167">
        <v>256</v>
      </c>
    </row>
    <row r="168" spans="1:2" x14ac:dyDescent="0.25">
      <c r="A168">
        <v>167</v>
      </c>
      <c r="B168">
        <v>256</v>
      </c>
    </row>
    <row r="169" spans="1:2" x14ac:dyDescent="0.25">
      <c r="A169">
        <v>168</v>
      </c>
      <c r="B169">
        <v>256</v>
      </c>
    </row>
    <row r="170" spans="1:2" x14ac:dyDescent="0.25">
      <c r="A170">
        <v>169</v>
      </c>
      <c r="B170">
        <v>256</v>
      </c>
    </row>
    <row r="171" spans="1:2" x14ac:dyDescent="0.25">
      <c r="A171">
        <v>170</v>
      </c>
      <c r="B171">
        <v>256</v>
      </c>
    </row>
    <row r="172" spans="1:2" x14ac:dyDescent="0.25">
      <c r="A172">
        <v>171</v>
      </c>
      <c r="B172">
        <v>256</v>
      </c>
    </row>
    <row r="173" spans="1:2" x14ac:dyDescent="0.25">
      <c r="A173">
        <v>172</v>
      </c>
      <c r="B173">
        <v>256</v>
      </c>
    </row>
    <row r="174" spans="1:2" x14ac:dyDescent="0.25">
      <c r="A174">
        <v>173</v>
      </c>
      <c r="B174">
        <v>256</v>
      </c>
    </row>
    <row r="175" spans="1:2" x14ac:dyDescent="0.25">
      <c r="A175">
        <v>174</v>
      </c>
      <c r="B175">
        <v>256</v>
      </c>
    </row>
    <row r="176" spans="1:2" x14ac:dyDescent="0.25">
      <c r="A176">
        <v>175</v>
      </c>
      <c r="B176">
        <v>256</v>
      </c>
    </row>
    <row r="177" spans="1:2" x14ac:dyDescent="0.25">
      <c r="A177">
        <v>176</v>
      </c>
      <c r="B177">
        <v>256</v>
      </c>
    </row>
    <row r="178" spans="1:2" x14ac:dyDescent="0.25">
      <c r="A178">
        <v>177</v>
      </c>
      <c r="B178">
        <v>256</v>
      </c>
    </row>
    <row r="179" spans="1:2" x14ac:dyDescent="0.25">
      <c r="A179">
        <v>178</v>
      </c>
      <c r="B179">
        <v>256</v>
      </c>
    </row>
    <row r="180" spans="1:2" x14ac:dyDescent="0.25">
      <c r="A180">
        <v>179</v>
      </c>
      <c r="B180">
        <v>256</v>
      </c>
    </row>
    <row r="181" spans="1:2" x14ac:dyDescent="0.25">
      <c r="A181">
        <v>180</v>
      </c>
      <c r="B181">
        <v>256</v>
      </c>
    </row>
    <row r="182" spans="1:2" x14ac:dyDescent="0.25">
      <c r="A182">
        <v>181</v>
      </c>
      <c r="B182">
        <v>256</v>
      </c>
    </row>
    <row r="183" spans="1:2" x14ac:dyDescent="0.25">
      <c r="A183">
        <v>182</v>
      </c>
      <c r="B183">
        <v>256</v>
      </c>
    </row>
    <row r="184" spans="1:2" x14ac:dyDescent="0.25">
      <c r="A184">
        <v>183</v>
      </c>
      <c r="B184">
        <v>256</v>
      </c>
    </row>
    <row r="185" spans="1:2" x14ac:dyDescent="0.25">
      <c r="A185">
        <v>184</v>
      </c>
      <c r="B185">
        <v>256</v>
      </c>
    </row>
    <row r="186" spans="1:2" x14ac:dyDescent="0.25">
      <c r="A186">
        <v>185</v>
      </c>
      <c r="B186">
        <v>256</v>
      </c>
    </row>
    <row r="187" spans="1:2" x14ac:dyDescent="0.25">
      <c r="A187">
        <v>186</v>
      </c>
      <c r="B187">
        <v>256</v>
      </c>
    </row>
    <row r="188" spans="1:2" x14ac:dyDescent="0.25">
      <c r="A188">
        <v>187</v>
      </c>
      <c r="B188">
        <v>256</v>
      </c>
    </row>
    <row r="189" spans="1:2" x14ac:dyDescent="0.25">
      <c r="A189">
        <v>188</v>
      </c>
      <c r="B189">
        <v>256</v>
      </c>
    </row>
    <row r="190" spans="1:2" x14ac:dyDescent="0.25">
      <c r="A190">
        <v>189</v>
      </c>
      <c r="B190">
        <v>256</v>
      </c>
    </row>
    <row r="191" spans="1:2" x14ac:dyDescent="0.25">
      <c r="A191">
        <v>190</v>
      </c>
      <c r="B191">
        <v>256</v>
      </c>
    </row>
    <row r="192" spans="1:2" x14ac:dyDescent="0.25">
      <c r="A192">
        <v>191</v>
      </c>
      <c r="B192">
        <v>256</v>
      </c>
    </row>
    <row r="193" spans="1:2" x14ac:dyDescent="0.25">
      <c r="A193">
        <v>192</v>
      </c>
      <c r="B193">
        <v>256</v>
      </c>
    </row>
    <row r="194" spans="1:2" x14ac:dyDescent="0.25">
      <c r="A194">
        <v>193</v>
      </c>
      <c r="B194">
        <v>256</v>
      </c>
    </row>
    <row r="195" spans="1:2" x14ac:dyDescent="0.25">
      <c r="A195">
        <v>194</v>
      </c>
      <c r="B195">
        <v>256</v>
      </c>
    </row>
    <row r="196" spans="1:2" x14ac:dyDescent="0.25">
      <c r="A196">
        <v>195</v>
      </c>
      <c r="B196">
        <v>256</v>
      </c>
    </row>
    <row r="197" spans="1:2" x14ac:dyDescent="0.25">
      <c r="A197">
        <v>196</v>
      </c>
      <c r="B197">
        <v>256</v>
      </c>
    </row>
    <row r="198" spans="1:2" x14ac:dyDescent="0.25">
      <c r="A198">
        <v>197</v>
      </c>
      <c r="B198">
        <v>256</v>
      </c>
    </row>
    <row r="199" spans="1:2" x14ac:dyDescent="0.25">
      <c r="A199">
        <v>198</v>
      </c>
      <c r="B199">
        <v>256</v>
      </c>
    </row>
    <row r="200" spans="1:2" x14ac:dyDescent="0.25">
      <c r="A200">
        <v>199</v>
      </c>
      <c r="B200">
        <v>256</v>
      </c>
    </row>
    <row r="201" spans="1:2" x14ac:dyDescent="0.25">
      <c r="A201">
        <v>200</v>
      </c>
      <c r="B201">
        <v>256</v>
      </c>
    </row>
    <row r="202" spans="1:2" x14ac:dyDescent="0.25">
      <c r="A202">
        <v>201</v>
      </c>
      <c r="B202">
        <v>256</v>
      </c>
    </row>
    <row r="203" spans="1:2" x14ac:dyDescent="0.25">
      <c r="A203">
        <v>202</v>
      </c>
      <c r="B203">
        <v>256</v>
      </c>
    </row>
    <row r="204" spans="1:2" x14ac:dyDescent="0.25">
      <c r="A204">
        <v>203</v>
      </c>
      <c r="B204">
        <v>256</v>
      </c>
    </row>
    <row r="205" spans="1:2" x14ac:dyDescent="0.25">
      <c r="A205">
        <v>204</v>
      </c>
      <c r="B205">
        <v>256</v>
      </c>
    </row>
    <row r="206" spans="1:2" x14ac:dyDescent="0.25">
      <c r="A206">
        <v>205</v>
      </c>
      <c r="B206">
        <v>256</v>
      </c>
    </row>
    <row r="207" spans="1:2" x14ac:dyDescent="0.25">
      <c r="A207">
        <v>206</v>
      </c>
      <c r="B207">
        <v>256</v>
      </c>
    </row>
    <row r="208" spans="1:2" x14ac:dyDescent="0.25">
      <c r="A208">
        <v>207</v>
      </c>
      <c r="B208">
        <v>256</v>
      </c>
    </row>
    <row r="209" spans="1:2" x14ac:dyDescent="0.25">
      <c r="A209">
        <v>208</v>
      </c>
      <c r="B209">
        <v>256</v>
      </c>
    </row>
    <row r="210" spans="1:2" x14ac:dyDescent="0.25">
      <c r="A210">
        <v>209</v>
      </c>
      <c r="B210">
        <v>256</v>
      </c>
    </row>
    <row r="211" spans="1:2" x14ac:dyDescent="0.25">
      <c r="A211">
        <v>210</v>
      </c>
      <c r="B211">
        <v>256</v>
      </c>
    </row>
    <row r="212" spans="1:2" x14ac:dyDescent="0.25">
      <c r="A212">
        <v>211</v>
      </c>
      <c r="B212">
        <v>256</v>
      </c>
    </row>
    <row r="213" spans="1:2" x14ac:dyDescent="0.25">
      <c r="A213">
        <v>212</v>
      </c>
      <c r="B213">
        <v>256</v>
      </c>
    </row>
    <row r="214" spans="1:2" x14ac:dyDescent="0.25">
      <c r="A214">
        <v>213</v>
      </c>
      <c r="B214">
        <v>256</v>
      </c>
    </row>
    <row r="215" spans="1:2" x14ac:dyDescent="0.25">
      <c r="A215">
        <v>214</v>
      </c>
      <c r="B215">
        <v>256</v>
      </c>
    </row>
    <row r="216" spans="1:2" x14ac:dyDescent="0.25">
      <c r="A216">
        <v>215</v>
      </c>
      <c r="B216">
        <v>256</v>
      </c>
    </row>
    <row r="217" spans="1:2" x14ac:dyDescent="0.25">
      <c r="A217">
        <v>216</v>
      </c>
      <c r="B217">
        <v>256</v>
      </c>
    </row>
    <row r="218" spans="1:2" x14ac:dyDescent="0.25">
      <c r="A218">
        <v>217</v>
      </c>
      <c r="B218">
        <v>256</v>
      </c>
    </row>
    <row r="219" spans="1:2" x14ac:dyDescent="0.25">
      <c r="A219">
        <v>218</v>
      </c>
      <c r="B219">
        <v>256</v>
      </c>
    </row>
    <row r="220" spans="1:2" x14ac:dyDescent="0.25">
      <c r="A220">
        <v>219</v>
      </c>
      <c r="B220">
        <v>256</v>
      </c>
    </row>
    <row r="221" spans="1:2" x14ac:dyDescent="0.25">
      <c r="A221">
        <v>220</v>
      </c>
      <c r="B221">
        <v>256</v>
      </c>
    </row>
    <row r="222" spans="1:2" x14ac:dyDescent="0.25">
      <c r="A222">
        <v>221</v>
      </c>
      <c r="B222">
        <v>256</v>
      </c>
    </row>
    <row r="223" spans="1:2" x14ac:dyDescent="0.25">
      <c r="A223">
        <v>222</v>
      </c>
      <c r="B223">
        <v>256</v>
      </c>
    </row>
    <row r="224" spans="1:2" x14ac:dyDescent="0.25">
      <c r="A224">
        <v>223</v>
      </c>
      <c r="B224">
        <v>256</v>
      </c>
    </row>
    <row r="225" spans="1:2" x14ac:dyDescent="0.25">
      <c r="A225">
        <v>224</v>
      </c>
      <c r="B225">
        <v>256</v>
      </c>
    </row>
    <row r="226" spans="1:2" x14ac:dyDescent="0.25">
      <c r="A226">
        <v>225</v>
      </c>
      <c r="B226">
        <v>256</v>
      </c>
    </row>
    <row r="227" spans="1:2" x14ac:dyDescent="0.25">
      <c r="A227">
        <v>226</v>
      </c>
      <c r="B227">
        <v>256</v>
      </c>
    </row>
    <row r="228" spans="1:2" x14ac:dyDescent="0.25">
      <c r="A228">
        <v>227</v>
      </c>
      <c r="B228">
        <v>256</v>
      </c>
    </row>
    <row r="229" spans="1:2" x14ac:dyDescent="0.25">
      <c r="A229">
        <v>228</v>
      </c>
      <c r="B229">
        <v>256</v>
      </c>
    </row>
    <row r="230" spans="1:2" x14ac:dyDescent="0.25">
      <c r="A230">
        <v>229</v>
      </c>
      <c r="B230">
        <v>256</v>
      </c>
    </row>
    <row r="231" spans="1:2" x14ac:dyDescent="0.25">
      <c r="A231">
        <v>230</v>
      </c>
      <c r="B231">
        <v>256</v>
      </c>
    </row>
    <row r="232" spans="1:2" x14ac:dyDescent="0.25">
      <c r="A232">
        <v>231</v>
      </c>
      <c r="B232">
        <v>256</v>
      </c>
    </row>
    <row r="233" spans="1:2" x14ac:dyDescent="0.25">
      <c r="A233">
        <v>232</v>
      </c>
      <c r="B233">
        <v>256</v>
      </c>
    </row>
    <row r="234" spans="1:2" x14ac:dyDescent="0.25">
      <c r="A234">
        <v>233</v>
      </c>
      <c r="B234">
        <v>256</v>
      </c>
    </row>
    <row r="235" spans="1:2" x14ac:dyDescent="0.25">
      <c r="A235">
        <v>234</v>
      </c>
      <c r="B235">
        <v>256</v>
      </c>
    </row>
    <row r="236" spans="1:2" x14ac:dyDescent="0.25">
      <c r="A236">
        <v>235</v>
      </c>
      <c r="B236">
        <v>256</v>
      </c>
    </row>
    <row r="237" spans="1:2" x14ac:dyDescent="0.25">
      <c r="A237">
        <v>236</v>
      </c>
      <c r="B237">
        <v>256</v>
      </c>
    </row>
    <row r="238" spans="1:2" x14ac:dyDescent="0.25">
      <c r="A238">
        <v>237</v>
      </c>
      <c r="B238">
        <v>256</v>
      </c>
    </row>
    <row r="239" spans="1:2" x14ac:dyDescent="0.25">
      <c r="A239">
        <v>238</v>
      </c>
      <c r="B239">
        <v>256</v>
      </c>
    </row>
    <row r="240" spans="1:2" x14ac:dyDescent="0.25">
      <c r="A240">
        <v>239</v>
      </c>
      <c r="B240">
        <v>256</v>
      </c>
    </row>
    <row r="241" spans="1:2" x14ac:dyDescent="0.25">
      <c r="A241">
        <v>240</v>
      </c>
      <c r="B241">
        <v>256</v>
      </c>
    </row>
    <row r="242" spans="1:2" x14ac:dyDescent="0.25">
      <c r="A242">
        <v>241</v>
      </c>
      <c r="B242">
        <v>256</v>
      </c>
    </row>
    <row r="243" spans="1:2" x14ac:dyDescent="0.25">
      <c r="A243">
        <v>242</v>
      </c>
      <c r="B243">
        <v>256</v>
      </c>
    </row>
    <row r="244" spans="1:2" x14ac:dyDescent="0.25">
      <c r="A244">
        <v>243</v>
      </c>
      <c r="B244">
        <v>256</v>
      </c>
    </row>
    <row r="245" spans="1:2" x14ac:dyDescent="0.25">
      <c r="A245">
        <v>244</v>
      </c>
      <c r="B245">
        <v>256</v>
      </c>
    </row>
    <row r="246" spans="1:2" x14ac:dyDescent="0.25">
      <c r="A246">
        <v>245</v>
      </c>
      <c r="B246">
        <v>256</v>
      </c>
    </row>
    <row r="247" spans="1:2" x14ac:dyDescent="0.25">
      <c r="A247">
        <v>246</v>
      </c>
      <c r="B247">
        <v>256</v>
      </c>
    </row>
    <row r="248" spans="1:2" x14ac:dyDescent="0.25">
      <c r="A248">
        <v>247</v>
      </c>
      <c r="B248">
        <v>256</v>
      </c>
    </row>
    <row r="249" spans="1:2" x14ac:dyDescent="0.25">
      <c r="A249">
        <v>248</v>
      </c>
      <c r="B249">
        <v>256</v>
      </c>
    </row>
    <row r="250" spans="1:2" x14ac:dyDescent="0.25">
      <c r="A250">
        <v>249</v>
      </c>
      <c r="B250">
        <v>256</v>
      </c>
    </row>
    <row r="251" spans="1:2" x14ac:dyDescent="0.25">
      <c r="A251">
        <v>250</v>
      </c>
      <c r="B251">
        <v>256</v>
      </c>
    </row>
    <row r="252" spans="1:2" x14ac:dyDescent="0.25">
      <c r="A252">
        <v>251</v>
      </c>
      <c r="B252">
        <v>256</v>
      </c>
    </row>
    <row r="253" spans="1:2" x14ac:dyDescent="0.25">
      <c r="A253">
        <v>252</v>
      </c>
      <c r="B253">
        <v>256</v>
      </c>
    </row>
    <row r="254" spans="1:2" x14ac:dyDescent="0.25">
      <c r="A254">
        <v>253</v>
      </c>
      <c r="B254">
        <v>256</v>
      </c>
    </row>
    <row r="255" spans="1:2" x14ac:dyDescent="0.25">
      <c r="A255">
        <v>254</v>
      </c>
      <c r="B255">
        <v>256</v>
      </c>
    </row>
    <row r="256" spans="1:2" x14ac:dyDescent="0.25">
      <c r="A256">
        <v>255</v>
      </c>
      <c r="B256">
        <v>1024</v>
      </c>
    </row>
    <row r="257" spans="1:2" x14ac:dyDescent="0.25">
      <c r="A257">
        <v>256</v>
      </c>
      <c r="B257">
        <v>1024</v>
      </c>
    </row>
    <row r="258" spans="1:2" x14ac:dyDescent="0.25">
      <c r="A258">
        <v>257</v>
      </c>
      <c r="B258">
        <v>1024</v>
      </c>
    </row>
    <row r="259" spans="1:2" x14ac:dyDescent="0.25">
      <c r="A259">
        <v>258</v>
      </c>
      <c r="B259">
        <v>1024</v>
      </c>
    </row>
    <row r="260" spans="1:2" x14ac:dyDescent="0.25">
      <c r="A260">
        <v>259</v>
      </c>
      <c r="B260">
        <v>1024</v>
      </c>
    </row>
    <row r="261" spans="1:2" x14ac:dyDescent="0.25">
      <c r="A261">
        <v>260</v>
      </c>
      <c r="B261">
        <v>1024</v>
      </c>
    </row>
    <row r="262" spans="1:2" x14ac:dyDescent="0.25">
      <c r="A262">
        <v>261</v>
      </c>
      <c r="B262">
        <v>1024</v>
      </c>
    </row>
    <row r="263" spans="1:2" x14ac:dyDescent="0.25">
      <c r="A263">
        <v>262</v>
      </c>
      <c r="B263">
        <v>1024</v>
      </c>
    </row>
    <row r="264" spans="1:2" x14ac:dyDescent="0.25">
      <c r="A264">
        <v>263</v>
      </c>
      <c r="B264">
        <v>1024</v>
      </c>
    </row>
    <row r="265" spans="1:2" x14ac:dyDescent="0.25">
      <c r="A265">
        <v>264</v>
      </c>
      <c r="B265">
        <v>1024</v>
      </c>
    </row>
    <row r="266" spans="1:2" x14ac:dyDescent="0.25">
      <c r="A266">
        <v>265</v>
      </c>
      <c r="B266">
        <v>1024</v>
      </c>
    </row>
    <row r="267" spans="1:2" x14ac:dyDescent="0.25">
      <c r="A267">
        <v>266</v>
      </c>
      <c r="B267">
        <v>1024</v>
      </c>
    </row>
    <row r="268" spans="1:2" x14ac:dyDescent="0.25">
      <c r="A268">
        <v>267</v>
      </c>
      <c r="B268">
        <v>1024</v>
      </c>
    </row>
    <row r="269" spans="1:2" x14ac:dyDescent="0.25">
      <c r="A269">
        <v>268</v>
      </c>
      <c r="B269">
        <v>1024</v>
      </c>
    </row>
    <row r="270" spans="1:2" x14ac:dyDescent="0.25">
      <c r="A270">
        <v>269</v>
      </c>
      <c r="B270">
        <v>1024</v>
      </c>
    </row>
    <row r="271" spans="1:2" x14ac:dyDescent="0.25">
      <c r="A271">
        <v>270</v>
      </c>
      <c r="B271">
        <v>1024</v>
      </c>
    </row>
    <row r="272" spans="1:2" x14ac:dyDescent="0.25">
      <c r="A272">
        <v>271</v>
      </c>
      <c r="B272">
        <v>1024</v>
      </c>
    </row>
    <row r="273" spans="1:2" x14ac:dyDescent="0.25">
      <c r="A273">
        <v>272</v>
      </c>
      <c r="B273">
        <v>1024</v>
      </c>
    </row>
    <row r="274" spans="1:2" x14ac:dyDescent="0.25">
      <c r="A274">
        <v>273</v>
      </c>
      <c r="B274">
        <v>1024</v>
      </c>
    </row>
    <row r="275" spans="1:2" x14ac:dyDescent="0.25">
      <c r="A275">
        <v>274</v>
      </c>
      <c r="B275">
        <v>1024</v>
      </c>
    </row>
    <row r="276" spans="1:2" x14ac:dyDescent="0.25">
      <c r="A276">
        <v>275</v>
      </c>
      <c r="B276">
        <v>1024</v>
      </c>
    </row>
    <row r="277" spans="1:2" x14ac:dyDescent="0.25">
      <c r="A277">
        <v>276</v>
      </c>
      <c r="B277">
        <v>1024</v>
      </c>
    </row>
    <row r="278" spans="1:2" x14ac:dyDescent="0.25">
      <c r="A278">
        <v>277</v>
      </c>
      <c r="B278">
        <v>1024</v>
      </c>
    </row>
    <row r="279" spans="1:2" x14ac:dyDescent="0.25">
      <c r="A279">
        <v>278</v>
      </c>
      <c r="B279">
        <v>1024</v>
      </c>
    </row>
    <row r="280" spans="1:2" x14ac:dyDescent="0.25">
      <c r="A280">
        <v>279</v>
      </c>
      <c r="B280">
        <v>1024</v>
      </c>
    </row>
    <row r="281" spans="1:2" x14ac:dyDescent="0.25">
      <c r="A281">
        <v>280</v>
      </c>
      <c r="B281">
        <v>1024</v>
      </c>
    </row>
    <row r="282" spans="1:2" x14ac:dyDescent="0.25">
      <c r="A282">
        <v>281</v>
      </c>
      <c r="B282">
        <v>1024</v>
      </c>
    </row>
    <row r="283" spans="1:2" x14ac:dyDescent="0.25">
      <c r="A283">
        <v>282</v>
      </c>
      <c r="B283">
        <v>1024</v>
      </c>
    </row>
    <row r="284" spans="1:2" x14ac:dyDescent="0.25">
      <c r="A284">
        <v>283</v>
      </c>
      <c r="B284">
        <v>1024</v>
      </c>
    </row>
    <row r="285" spans="1:2" x14ac:dyDescent="0.25">
      <c r="A285">
        <v>284</v>
      </c>
      <c r="B285">
        <v>1024</v>
      </c>
    </row>
    <row r="286" spans="1:2" x14ac:dyDescent="0.25">
      <c r="A286">
        <v>285</v>
      </c>
      <c r="B286">
        <v>1024</v>
      </c>
    </row>
    <row r="287" spans="1:2" x14ac:dyDescent="0.25">
      <c r="A287">
        <v>286</v>
      </c>
      <c r="B287">
        <v>1024</v>
      </c>
    </row>
    <row r="288" spans="1:2" x14ac:dyDescent="0.25">
      <c r="A288">
        <v>287</v>
      </c>
      <c r="B288">
        <v>1024</v>
      </c>
    </row>
    <row r="289" spans="1:2" x14ac:dyDescent="0.25">
      <c r="A289">
        <v>288</v>
      </c>
      <c r="B289">
        <v>1024</v>
      </c>
    </row>
    <row r="290" spans="1:2" x14ac:dyDescent="0.25">
      <c r="A290">
        <v>289</v>
      </c>
      <c r="B290">
        <v>1024</v>
      </c>
    </row>
    <row r="291" spans="1:2" x14ac:dyDescent="0.25">
      <c r="A291">
        <v>290</v>
      </c>
      <c r="B291">
        <v>1024</v>
      </c>
    </row>
    <row r="292" spans="1:2" x14ac:dyDescent="0.25">
      <c r="A292">
        <v>291</v>
      </c>
      <c r="B292">
        <v>1024</v>
      </c>
    </row>
    <row r="293" spans="1:2" x14ac:dyDescent="0.25">
      <c r="A293">
        <v>292</v>
      </c>
      <c r="B293">
        <v>1024</v>
      </c>
    </row>
    <row r="294" spans="1:2" x14ac:dyDescent="0.25">
      <c r="A294">
        <v>293</v>
      </c>
      <c r="B294">
        <v>1024</v>
      </c>
    </row>
    <row r="295" spans="1:2" x14ac:dyDescent="0.25">
      <c r="A295">
        <v>294</v>
      </c>
      <c r="B295">
        <v>1024</v>
      </c>
    </row>
    <row r="296" spans="1:2" x14ac:dyDescent="0.25">
      <c r="A296">
        <v>295</v>
      </c>
      <c r="B296">
        <v>1024</v>
      </c>
    </row>
    <row r="297" spans="1:2" x14ac:dyDescent="0.25">
      <c r="A297">
        <v>296</v>
      </c>
      <c r="B297">
        <v>1024</v>
      </c>
    </row>
    <row r="298" spans="1:2" x14ac:dyDescent="0.25">
      <c r="A298">
        <v>297</v>
      </c>
      <c r="B298">
        <v>1024</v>
      </c>
    </row>
    <row r="299" spans="1:2" x14ac:dyDescent="0.25">
      <c r="A299">
        <v>298</v>
      </c>
      <c r="B299">
        <v>1024</v>
      </c>
    </row>
    <row r="300" spans="1:2" x14ac:dyDescent="0.25">
      <c r="A300">
        <v>299</v>
      </c>
      <c r="B300">
        <v>1024</v>
      </c>
    </row>
    <row r="301" spans="1:2" x14ac:dyDescent="0.25">
      <c r="A301">
        <v>300</v>
      </c>
      <c r="B301">
        <v>1024</v>
      </c>
    </row>
    <row r="302" spans="1:2" x14ac:dyDescent="0.25">
      <c r="A302">
        <v>301</v>
      </c>
      <c r="B302">
        <v>1024</v>
      </c>
    </row>
    <row r="303" spans="1:2" x14ac:dyDescent="0.25">
      <c r="A303">
        <v>302</v>
      </c>
      <c r="B303">
        <v>1024</v>
      </c>
    </row>
    <row r="304" spans="1:2" x14ac:dyDescent="0.25">
      <c r="A304">
        <v>303</v>
      </c>
      <c r="B304">
        <v>1024</v>
      </c>
    </row>
    <row r="305" spans="1:2" x14ac:dyDescent="0.25">
      <c r="A305">
        <v>304</v>
      </c>
      <c r="B305">
        <v>1024</v>
      </c>
    </row>
    <row r="306" spans="1:2" x14ac:dyDescent="0.25">
      <c r="A306">
        <v>305</v>
      </c>
      <c r="B306">
        <v>1024</v>
      </c>
    </row>
    <row r="307" spans="1:2" x14ac:dyDescent="0.25">
      <c r="A307">
        <v>306</v>
      </c>
      <c r="B307">
        <v>1024</v>
      </c>
    </row>
    <row r="308" spans="1:2" x14ac:dyDescent="0.25">
      <c r="A308">
        <v>307</v>
      </c>
      <c r="B308">
        <v>1024</v>
      </c>
    </row>
    <row r="309" spans="1:2" x14ac:dyDescent="0.25">
      <c r="A309">
        <v>308</v>
      </c>
      <c r="B309">
        <v>1024</v>
      </c>
    </row>
    <row r="310" spans="1:2" x14ac:dyDescent="0.25">
      <c r="A310">
        <v>309</v>
      </c>
      <c r="B310">
        <v>1024</v>
      </c>
    </row>
    <row r="311" spans="1:2" x14ac:dyDescent="0.25">
      <c r="A311">
        <v>310</v>
      </c>
      <c r="B311">
        <v>1024</v>
      </c>
    </row>
    <row r="312" spans="1:2" x14ac:dyDescent="0.25">
      <c r="A312">
        <v>311</v>
      </c>
      <c r="B312">
        <v>1024</v>
      </c>
    </row>
    <row r="313" spans="1:2" x14ac:dyDescent="0.25">
      <c r="A313">
        <v>312</v>
      </c>
      <c r="B313">
        <v>1024</v>
      </c>
    </row>
    <row r="314" spans="1:2" x14ac:dyDescent="0.25">
      <c r="A314">
        <v>313</v>
      </c>
      <c r="B314">
        <v>1024</v>
      </c>
    </row>
    <row r="315" spans="1:2" x14ac:dyDescent="0.25">
      <c r="A315">
        <v>314</v>
      </c>
      <c r="B315">
        <v>1024</v>
      </c>
    </row>
    <row r="316" spans="1:2" x14ac:dyDescent="0.25">
      <c r="A316">
        <v>315</v>
      </c>
      <c r="B316">
        <v>1024</v>
      </c>
    </row>
    <row r="317" spans="1:2" x14ac:dyDescent="0.25">
      <c r="A317">
        <v>316</v>
      </c>
      <c r="B317">
        <v>1024</v>
      </c>
    </row>
    <row r="318" spans="1:2" x14ac:dyDescent="0.25">
      <c r="A318">
        <v>317</v>
      </c>
      <c r="B318">
        <v>1024</v>
      </c>
    </row>
    <row r="319" spans="1:2" x14ac:dyDescent="0.25">
      <c r="A319">
        <v>318</v>
      </c>
      <c r="B319">
        <v>1024</v>
      </c>
    </row>
    <row r="320" spans="1:2" x14ac:dyDescent="0.25">
      <c r="A320">
        <v>319</v>
      </c>
      <c r="B320">
        <v>1024</v>
      </c>
    </row>
    <row r="321" spans="1:2" x14ac:dyDescent="0.25">
      <c r="A321">
        <v>320</v>
      </c>
      <c r="B321">
        <v>1024</v>
      </c>
    </row>
    <row r="322" spans="1:2" x14ac:dyDescent="0.25">
      <c r="A322">
        <v>321</v>
      </c>
      <c r="B322">
        <v>1024</v>
      </c>
    </row>
    <row r="323" spans="1:2" x14ac:dyDescent="0.25">
      <c r="A323">
        <v>322</v>
      </c>
      <c r="B323">
        <v>1024</v>
      </c>
    </row>
    <row r="324" spans="1:2" x14ac:dyDescent="0.25">
      <c r="A324">
        <v>323</v>
      </c>
      <c r="B324">
        <v>1024</v>
      </c>
    </row>
    <row r="325" spans="1:2" x14ac:dyDescent="0.25">
      <c r="A325">
        <v>324</v>
      </c>
      <c r="B325">
        <v>1024</v>
      </c>
    </row>
    <row r="326" spans="1:2" x14ac:dyDescent="0.25">
      <c r="A326">
        <v>325</v>
      </c>
      <c r="B326">
        <v>1024</v>
      </c>
    </row>
    <row r="327" spans="1:2" x14ac:dyDescent="0.25">
      <c r="A327">
        <v>326</v>
      </c>
      <c r="B327">
        <v>1024</v>
      </c>
    </row>
    <row r="328" spans="1:2" x14ac:dyDescent="0.25">
      <c r="A328">
        <v>327</v>
      </c>
      <c r="B328">
        <v>1024</v>
      </c>
    </row>
    <row r="329" spans="1:2" x14ac:dyDescent="0.25">
      <c r="A329">
        <v>328</v>
      </c>
      <c r="B329">
        <v>1024</v>
      </c>
    </row>
    <row r="330" spans="1:2" x14ac:dyDescent="0.25">
      <c r="A330">
        <v>329</v>
      </c>
      <c r="B330">
        <v>1024</v>
      </c>
    </row>
    <row r="331" spans="1:2" x14ac:dyDescent="0.25">
      <c r="A331">
        <v>330</v>
      </c>
      <c r="B331">
        <v>1024</v>
      </c>
    </row>
    <row r="332" spans="1:2" x14ac:dyDescent="0.25">
      <c r="A332">
        <v>331</v>
      </c>
      <c r="B332">
        <v>1024</v>
      </c>
    </row>
    <row r="333" spans="1:2" x14ac:dyDescent="0.25">
      <c r="A333">
        <v>332</v>
      </c>
      <c r="B333">
        <v>1024</v>
      </c>
    </row>
    <row r="334" spans="1:2" x14ac:dyDescent="0.25">
      <c r="A334">
        <v>333</v>
      </c>
      <c r="B334">
        <v>1024</v>
      </c>
    </row>
    <row r="335" spans="1:2" x14ac:dyDescent="0.25">
      <c r="A335">
        <v>334</v>
      </c>
      <c r="B335">
        <v>1024</v>
      </c>
    </row>
    <row r="336" spans="1:2" x14ac:dyDescent="0.25">
      <c r="A336">
        <v>335</v>
      </c>
      <c r="B336">
        <v>1024</v>
      </c>
    </row>
    <row r="337" spans="1:2" x14ac:dyDescent="0.25">
      <c r="A337">
        <v>336</v>
      </c>
      <c r="B337">
        <v>1024</v>
      </c>
    </row>
    <row r="338" spans="1:2" x14ac:dyDescent="0.25">
      <c r="A338">
        <v>337</v>
      </c>
      <c r="B338">
        <v>1024</v>
      </c>
    </row>
    <row r="339" spans="1:2" x14ac:dyDescent="0.25">
      <c r="A339">
        <v>338</v>
      </c>
      <c r="B339">
        <v>1024</v>
      </c>
    </row>
    <row r="340" spans="1:2" x14ac:dyDescent="0.25">
      <c r="A340">
        <v>339</v>
      </c>
      <c r="B340">
        <v>1024</v>
      </c>
    </row>
    <row r="341" spans="1:2" x14ac:dyDescent="0.25">
      <c r="A341">
        <v>340</v>
      </c>
      <c r="B341">
        <v>1024</v>
      </c>
    </row>
    <row r="342" spans="1:2" x14ac:dyDescent="0.25">
      <c r="A342">
        <v>341</v>
      </c>
      <c r="B342">
        <v>1024</v>
      </c>
    </row>
    <row r="343" spans="1:2" x14ac:dyDescent="0.25">
      <c r="A343">
        <v>342</v>
      </c>
      <c r="B343">
        <v>1024</v>
      </c>
    </row>
    <row r="344" spans="1:2" x14ac:dyDescent="0.25">
      <c r="A344">
        <v>343</v>
      </c>
      <c r="B344">
        <v>1024</v>
      </c>
    </row>
    <row r="345" spans="1:2" x14ac:dyDescent="0.25">
      <c r="A345">
        <v>344</v>
      </c>
      <c r="B345">
        <v>1024</v>
      </c>
    </row>
    <row r="346" spans="1:2" x14ac:dyDescent="0.25">
      <c r="A346">
        <v>345</v>
      </c>
      <c r="B346">
        <v>1024</v>
      </c>
    </row>
    <row r="347" spans="1:2" x14ac:dyDescent="0.25">
      <c r="A347">
        <v>346</v>
      </c>
      <c r="B347">
        <v>1024</v>
      </c>
    </row>
    <row r="348" spans="1:2" x14ac:dyDescent="0.25">
      <c r="A348">
        <v>347</v>
      </c>
      <c r="B348">
        <v>1024</v>
      </c>
    </row>
    <row r="349" spans="1:2" x14ac:dyDescent="0.25">
      <c r="A349">
        <v>348</v>
      </c>
      <c r="B349">
        <v>1024</v>
      </c>
    </row>
    <row r="350" spans="1:2" x14ac:dyDescent="0.25">
      <c r="A350">
        <v>349</v>
      </c>
      <c r="B350">
        <v>1024</v>
      </c>
    </row>
    <row r="351" spans="1:2" x14ac:dyDescent="0.25">
      <c r="A351">
        <v>350</v>
      </c>
      <c r="B351">
        <v>1024</v>
      </c>
    </row>
    <row r="352" spans="1:2" x14ac:dyDescent="0.25">
      <c r="A352">
        <v>351</v>
      </c>
      <c r="B352">
        <v>1024</v>
      </c>
    </row>
    <row r="353" spans="1:2" x14ac:dyDescent="0.25">
      <c r="A353">
        <v>352</v>
      </c>
      <c r="B353">
        <v>1024</v>
      </c>
    </row>
    <row r="354" spans="1:2" x14ac:dyDescent="0.25">
      <c r="A354">
        <v>353</v>
      </c>
      <c r="B354">
        <v>1024</v>
      </c>
    </row>
    <row r="355" spans="1:2" x14ac:dyDescent="0.25">
      <c r="A355">
        <v>354</v>
      </c>
      <c r="B355">
        <v>1024</v>
      </c>
    </row>
    <row r="356" spans="1:2" x14ac:dyDescent="0.25">
      <c r="A356">
        <v>355</v>
      </c>
      <c r="B356">
        <v>1024</v>
      </c>
    </row>
    <row r="357" spans="1:2" x14ac:dyDescent="0.25">
      <c r="A357">
        <v>356</v>
      </c>
      <c r="B357">
        <v>1024</v>
      </c>
    </row>
    <row r="358" spans="1:2" x14ac:dyDescent="0.25">
      <c r="A358">
        <v>357</v>
      </c>
      <c r="B358">
        <v>1024</v>
      </c>
    </row>
    <row r="359" spans="1:2" x14ac:dyDescent="0.25">
      <c r="A359">
        <v>358</v>
      </c>
      <c r="B359">
        <v>1024</v>
      </c>
    </row>
    <row r="360" spans="1:2" x14ac:dyDescent="0.25">
      <c r="A360">
        <v>359</v>
      </c>
      <c r="B360">
        <v>1024</v>
      </c>
    </row>
    <row r="361" spans="1:2" x14ac:dyDescent="0.25">
      <c r="A361">
        <v>360</v>
      </c>
      <c r="B361">
        <v>1024</v>
      </c>
    </row>
    <row r="362" spans="1:2" x14ac:dyDescent="0.25">
      <c r="A362">
        <v>361</v>
      </c>
      <c r="B362">
        <v>1024</v>
      </c>
    </row>
    <row r="363" spans="1:2" x14ac:dyDescent="0.25">
      <c r="A363">
        <v>362</v>
      </c>
      <c r="B363">
        <v>1024</v>
      </c>
    </row>
    <row r="364" spans="1:2" x14ac:dyDescent="0.25">
      <c r="A364">
        <v>363</v>
      </c>
      <c r="B364">
        <v>1024</v>
      </c>
    </row>
    <row r="365" spans="1:2" x14ac:dyDescent="0.25">
      <c r="A365">
        <v>364</v>
      </c>
      <c r="B365">
        <v>1024</v>
      </c>
    </row>
    <row r="366" spans="1:2" x14ac:dyDescent="0.25">
      <c r="A366">
        <v>365</v>
      </c>
      <c r="B366">
        <v>1024</v>
      </c>
    </row>
    <row r="367" spans="1:2" x14ac:dyDescent="0.25">
      <c r="A367">
        <v>366</v>
      </c>
      <c r="B367">
        <v>1024</v>
      </c>
    </row>
    <row r="368" spans="1:2" x14ac:dyDescent="0.25">
      <c r="A368">
        <v>367</v>
      </c>
      <c r="B368">
        <v>1024</v>
      </c>
    </row>
    <row r="369" spans="1:2" x14ac:dyDescent="0.25">
      <c r="A369">
        <v>368</v>
      </c>
      <c r="B369">
        <v>1024</v>
      </c>
    </row>
    <row r="370" spans="1:2" x14ac:dyDescent="0.25">
      <c r="A370">
        <v>369</v>
      </c>
      <c r="B370">
        <v>1024</v>
      </c>
    </row>
    <row r="371" spans="1:2" x14ac:dyDescent="0.25">
      <c r="A371">
        <v>370</v>
      </c>
      <c r="B371">
        <v>1024</v>
      </c>
    </row>
    <row r="372" spans="1:2" x14ac:dyDescent="0.25">
      <c r="A372">
        <v>371</v>
      </c>
      <c r="B372">
        <v>1024</v>
      </c>
    </row>
    <row r="373" spans="1:2" x14ac:dyDescent="0.25">
      <c r="A373">
        <v>372</v>
      </c>
      <c r="B373">
        <v>1024</v>
      </c>
    </row>
    <row r="374" spans="1:2" x14ac:dyDescent="0.25">
      <c r="A374">
        <v>373</v>
      </c>
      <c r="B374">
        <v>1024</v>
      </c>
    </row>
    <row r="375" spans="1:2" x14ac:dyDescent="0.25">
      <c r="A375">
        <v>374</v>
      </c>
      <c r="B375">
        <v>1024</v>
      </c>
    </row>
    <row r="376" spans="1:2" x14ac:dyDescent="0.25">
      <c r="A376">
        <v>375</v>
      </c>
      <c r="B376">
        <v>1024</v>
      </c>
    </row>
    <row r="377" spans="1:2" x14ac:dyDescent="0.25">
      <c r="A377">
        <v>376</v>
      </c>
      <c r="B377">
        <v>1024</v>
      </c>
    </row>
    <row r="378" spans="1:2" x14ac:dyDescent="0.25">
      <c r="A378">
        <v>377</v>
      </c>
      <c r="B378">
        <v>1024</v>
      </c>
    </row>
    <row r="379" spans="1:2" x14ac:dyDescent="0.25">
      <c r="A379">
        <v>378</v>
      </c>
      <c r="B379">
        <v>1024</v>
      </c>
    </row>
    <row r="380" spans="1:2" x14ac:dyDescent="0.25">
      <c r="A380">
        <v>379</v>
      </c>
      <c r="B380">
        <v>1024</v>
      </c>
    </row>
    <row r="381" spans="1:2" x14ac:dyDescent="0.25">
      <c r="A381">
        <v>380</v>
      </c>
      <c r="B381">
        <v>1024</v>
      </c>
    </row>
    <row r="382" spans="1:2" x14ac:dyDescent="0.25">
      <c r="A382">
        <v>381</v>
      </c>
      <c r="B382">
        <v>1024</v>
      </c>
    </row>
    <row r="383" spans="1:2" x14ac:dyDescent="0.25">
      <c r="A383">
        <v>382</v>
      </c>
      <c r="B383">
        <v>1024</v>
      </c>
    </row>
    <row r="384" spans="1:2" x14ac:dyDescent="0.25">
      <c r="A384">
        <v>383</v>
      </c>
      <c r="B384">
        <v>1024</v>
      </c>
    </row>
    <row r="385" spans="1:2" x14ac:dyDescent="0.25">
      <c r="A385">
        <v>384</v>
      </c>
      <c r="B385">
        <v>1024</v>
      </c>
    </row>
    <row r="386" spans="1:2" x14ac:dyDescent="0.25">
      <c r="A386">
        <v>385</v>
      </c>
      <c r="B386">
        <v>1024</v>
      </c>
    </row>
    <row r="387" spans="1:2" x14ac:dyDescent="0.25">
      <c r="A387">
        <v>386</v>
      </c>
      <c r="B387">
        <v>1024</v>
      </c>
    </row>
    <row r="388" spans="1:2" x14ac:dyDescent="0.25">
      <c r="A388">
        <v>387</v>
      </c>
      <c r="B388">
        <v>1024</v>
      </c>
    </row>
    <row r="389" spans="1:2" x14ac:dyDescent="0.25">
      <c r="A389">
        <v>388</v>
      </c>
      <c r="B389">
        <v>1024</v>
      </c>
    </row>
    <row r="390" spans="1:2" x14ac:dyDescent="0.25">
      <c r="A390">
        <v>389</v>
      </c>
      <c r="B390">
        <v>1024</v>
      </c>
    </row>
    <row r="391" spans="1:2" x14ac:dyDescent="0.25">
      <c r="A391">
        <v>390</v>
      </c>
      <c r="B391">
        <v>1024</v>
      </c>
    </row>
    <row r="392" spans="1:2" x14ac:dyDescent="0.25">
      <c r="A392">
        <v>391</v>
      </c>
      <c r="B392">
        <v>1024</v>
      </c>
    </row>
    <row r="393" spans="1:2" x14ac:dyDescent="0.25">
      <c r="A393">
        <v>392</v>
      </c>
      <c r="B393">
        <v>1024</v>
      </c>
    </row>
    <row r="394" spans="1:2" x14ac:dyDescent="0.25">
      <c r="A394">
        <v>393</v>
      </c>
      <c r="B394">
        <v>1024</v>
      </c>
    </row>
    <row r="395" spans="1:2" x14ac:dyDescent="0.25">
      <c r="A395">
        <v>394</v>
      </c>
      <c r="B395">
        <v>1024</v>
      </c>
    </row>
    <row r="396" spans="1:2" x14ac:dyDescent="0.25">
      <c r="A396">
        <v>395</v>
      </c>
      <c r="B396">
        <v>1024</v>
      </c>
    </row>
    <row r="397" spans="1:2" x14ac:dyDescent="0.25">
      <c r="A397">
        <v>396</v>
      </c>
      <c r="B397">
        <v>1024</v>
      </c>
    </row>
    <row r="398" spans="1:2" x14ac:dyDescent="0.25">
      <c r="A398">
        <v>397</v>
      </c>
      <c r="B398">
        <v>1024</v>
      </c>
    </row>
    <row r="399" spans="1:2" x14ac:dyDescent="0.25">
      <c r="A399">
        <v>398</v>
      </c>
      <c r="B399">
        <v>1024</v>
      </c>
    </row>
    <row r="400" spans="1:2" x14ac:dyDescent="0.25">
      <c r="A400">
        <v>399</v>
      </c>
      <c r="B400">
        <v>1024</v>
      </c>
    </row>
    <row r="401" spans="1:2" x14ac:dyDescent="0.25">
      <c r="A401">
        <v>400</v>
      </c>
      <c r="B401">
        <v>1024</v>
      </c>
    </row>
    <row r="402" spans="1:2" x14ac:dyDescent="0.25">
      <c r="A402">
        <v>401</v>
      </c>
      <c r="B402">
        <v>1024</v>
      </c>
    </row>
    <row r="403" spans="1:2" x14ac:dyDescent="0.25">
      <c r="A403">
        <v>402</v>
      </c>
      <c r="B403">
        <v>1024</v>
      </c>
    </row>
    <row r="404" spans="1:2" x14ac:dyDescent="0.25">
      <c r="A404">
        <v>403</v>
      </c>
      <c r="B404">
        <v>1024</v>
      </c>
    </row>
    <row r="405" spans="1:2" x14ac:dyDescent="0.25">
      <c r="A405">
        <v>404</v>
      </c>
      <c r="B405">
        <v>1024</v>
      </c>
    </row>
    <row r="406" spans="1:2" x14ac:dyDescent="0.25">
      <c r="A406">
        <v>405</v>
      </c>
      <c r="B406">
        <v>1024</v>
      </c>
    </row>
    <row r="407" spans="1:2" x14ac:dyDescent="0.25">
      <c r="A407">
        <v>406</v>
      </c>
      <c r="B407">
        <v>1024</v>
      </c>
    </row>
    <row r="408" spans="1:2" x14ac:dyDescent="0.25">
      <c r="A408">
        <v>407</v>
      </c>
      <c r="B408">
        <v>1024</v>
      </c>
    </row>
    <row r="409" spans="1:2" x14ac:dyDescent="0.25">
      <c r="A409">
        <v>408</v>
      </c>
      <c r="B409">
        <v>1024</v>
      </c>
    </row>
    <row r="410" spans="1:2" x14ac:dyDescent="0.25">
      <c r="A410">
        <v>409</v>
      </c>
      <c r="B410">
        <v>1024</v>
      </c>
    </row>
    <row r="411" spans="1:2" x14ac:dyDescent="0.25">
      <c r="A411">
        <v>410</v>
      </c>
      <c r="B411">
        <v>1024</v>
      </c>
    </row>
    <row r="412" spans="1:2" x14ac:dyDescent="0.25">
      <c r="A412">
        <v>411</v>
      </c>
      <c r="B412">
        <v>1024</v>
      </c>
    </row>
    <row r="413" spans="1:2" x14ac:dyDescent="0.25">
      <c r="A413">
        <v>412</v>
      </c>
      <c r="B413">
        <v>1024</v>
      </c>
    </row>
    <row r="414" spans="1:2" x14ac:dyDescent="0.25">
      <c r="A414">
        <v>413</v>
      </c>
      <c r="B414">
        <v>1024</v>
      </c>
    </row>
    <row r="415" spans="1:2" x14ac:dyDescent="0.25">
      <c r="A415">
        <v>414</v>
      </c>
      <c r="B415">
        <v>1024</v>
      </c>
    </row>
    <row r="416" spans="1:2" x14ac:dyDescent="0.25">
      <c r="A416">
        <v>415</v>
      </c>
      <c r="B416">
        <v>1024</v>
      </c>
    </row>
    <row r="417" spans="1:2" x14ac:dyDescent="0.25">
      <c r="A417">
        <v>416</v>
      </c>
      <c r="B417">
        <v>1024</v>
      </c>
    </row>
    <row r="418" spans="1:2" x14ac:dyDescent="0.25">
      <c r="A418">
        <v>417</v>
      </c>
      <c r="B418">
        <v>1024</v>
      </c>
    </row>
    <row r="419" spans="1:2" x14ac:dyDescent="0.25">
      <c r="A419">
        <v>418</v>
      </c>
      <c r="B419">
        <v>1024</v>
      </c>
    </row>
    <row r="420" spans="1:2" x14ac:dyDescent="0.25">
      <c r="A420">
        <v>419</v>
      </c>
      <c r="B420">
        <v>1024</v>
      </c>
    </row>
    <row r="421" spans="1:2" x14ac:dyDescent="0.25">
      <c r="A421">
        <v>420</v>
      </c>
      <c r="B421">
        <v>1024</v>
      </c>
    </row>
    <row r="422" spans="1:2" x14ac:dyDescent="0.25">
      <c r="A422">
        <v>421</v>
      </c>
      <c r="B422">
        <v>1024</v>
      </c>
    </row>
    <row r="423" spans="1:2" x14ac:dyDescent="0.25">
      <c r="A423">
        <v>422</v>
      </c>
      <c r="B423">
        <v>1024</v>
      </c>
    </row>
    <row r="424" spans="1:2" x14ac:dyDescent="0.25">
      <c r="A424">
        <v>423</v>
      </c>
      <c r="B424">
        <v>1024</v>
      </c>
    </row>
    <row r="425" spans="1:2" x14ac:dyDescent="0.25">
      <c r="A425">
        <v>424</v>
      </c>
      <c r="B425">
        <v>1024</v>
      </c>
    </row>
    <row r="426" spans="1:2" x14ac:dyDescent="0.25">
      <c r="A426">
        <v>425</v>
      </c>
      <c r="B426">
        <v>1024</v>
      </c>
    </row>
    <row r="427" spans="1:2" x14ac:dyDescent="0.25">
      <c r="A427">
        <v>426</v>
      </c>
      <c r="B427">
        <v>1024</v>
      </c>
    </row>
    <row r="428" spans="1:2" x14ac:dyDescent="0.25">
      <c r="A428">
        <v>427</v>
      </c>
      <c r="B428">
        <v>1024</v>
      </c>
    </row>
    <row r="429" spans="1:2" x14ac:dyDescent="0.25">
      <c r="A429">
        <v>428</v>
      </c>
      <c r="B429">
        <v>1024</v>
      </c>
    </row>
    <row r="430" spans="1:2" x14ac:dyDescent="0.25">
      <c r="A430">
        <v>429</v>
      </c>
      <c r="B430">
        <v>1024</v>
      </c>
    </row>
    <row r="431" spans="1:2" x14ac:dyDescent="0.25">
      <c r="A431">
        <v>430</v>
      </c>
      <c r="B431">
        <v>1024</v>
      </c>
    </row>
    <row r="432" spans="1:2" x14ac:dyDescent="0.25">
      <c r="A432">
        <v>431</v>
      </c>
      <c r="B432">
        <v>1024</v>
      </c>
    </row>
    <row r="433" spans="1:2" x14ac:dyDescent="0.25">
      <c r="A433">
        <v>432</v>
      </c>
      <c r="B433">
        <v>1024</v>
      </c>
    </row>
    <row r="434" spans="1:2" x14ac:dyDescent="0.25">
      <c r="A434">
        <v>433</v>
      </c>
      <c r="B434">
        <v>1024</v>
      </c>
    </row>
    <row r="435" spans="1:2" x14ac:dyDescent="0.25">
      <c r="A435">
        <v>434</v>
      </c>
      <c r="B435">
        <v>1024</v>
      </c>
    </row>
    <row r="436" spans="1:2" x14ac:dyDescent="0.25">
      <c r="A436">
        <v>435</v>
      </c>
      <c r="B436">
        <v>1024</v>
      </c>
    </row>
    <row r="437" spans="1:2" x14ac:dyDescent="0.25">
      <c r="A437">
        <v>436</v>
      </c>
      <c r="B437">
        <v>1024</v>
      </c>
    </row>
    <row r="438" spans="1:2" x14ac:dyDescent="0.25">
      <c r="A438">
        <v>437</v>
      </c>
      <c r="B438">
        <v>1024</v>
      </c>
    </row>
    <row r="439" spans="1:2" x14ac:dyDescent="0.25">
      <c r="A439">
        <v>438</v>
      </c>
      <c r="B439">
        <v>1024</v>
      </c>
    </row>
    <row r="440" spans="1:2" x14ac:dyDescent="0.25">
      <c r="A440">
        <v>439</v>
      </c>
      <c r="B440">
        <v>1024</v>
      </c>
    </row>
    <row r="441" spans="1:2" x14ac:dyDescent="0.25">
      <c r="A441">
        <v>440</v>
      </c>
      <c r="B441">
        <v>1024</v>
      </c>
    </row>
    <row r="442" spans="1:2" x14ac:dyDescent="0.25">
      <c r="A442">
        <v>441</v>
      </c>
      <c r="B442">
        <v>1024</v>
      </c>
    </row>
    <row r="443" spans="1:2" x14ac:dyDescent="0.25">
      <c r="A443">
        <v>442</v>
      </c>
      <c r="B443">
        <v>1024</v>
      </c>
    </row>
    <row r="444" spans="1:2" x14ac:dyDescent="0.25">
      <c r="A444">
        <v>443</v>
      </c>
      <c r="B444">
        <v>1024</v>
      </c>
    </row>
    <row r="445" spans="1:2" x14ac:dyDescent="0.25">
      <c r="A445">
        <v>444</v>
      </c>
      <c r="B445">
        <v>1024</v>
      </c>
    </row>
    <row r="446" spans="1:2" x14ac:dyDescent="0.25">
      <c r="A446">
        <v>445</v>
      </c>
      <c r="B446">
        <v>1024</v>
      </c>
    </row>
    <row r="447" spans="1:2" x14ac:dyDescent="0.25">
      <c r="A447">
        <v>446</v>
      </c>
      <c r="B447">
        <v>1024</v>
      </c>
    </row>
    <row r="448" spans="1:2" x14ac:dyDescent="0.25">
      <c r="A448">
        <v>447</v>
      </c>
      <c r="B448">
        <v>1024</v>
      </c>
    </row>
    <row r="449" spans="1:2" x14ac:dyDescent="0.25">
      <c r="A449">
        <v>448</v>
      </c>
      <c r="B449">
        <v>1024</v>
      </c>
    </row>
    <row r="450" spans="1:2" x14ac:dyDescent="0.25">
      <c r="A450">
        <v>449</v>
      </c>
      <c r="B450">
        <v>1024</v>
      </c>
    </row>
    <row r="451" spans="1:2" x14ac:dyDescent="0.25">
      <c r="A451">
        <v>450</v>
      </c>
      <c r="B451">
        <v>1024</v>
      </c>
    </row>
    <row r="452" spans="1:2" x14ac:dyDescent="0.25">
      <c r="A452">
        <v>451</v>
      </c>
      <c r="B452">
        <v>1024</v>
      </c>
    </row>
    <row r="453" spans="1:2" x14ac:dyDescent="0.25">
      <c r="A453">
        <v>452</v>
      </c>
      <c r="B453">
        <v>1024</v>
      </c>
    </row>
    <row r="454" spans="1:2" x14ac:dyDescent="0.25">
      <c r="A454">
        <v>453</v>
      </c>
      <c r="B454">
        <v>1024</v>
      </c>
    </row>
    <row r="455" spans="1:2" x14ac:dyDescent="0.25">
      <c r="A455">
        <v>454</v>
      </c>
      <c r="B455">
        <v>1024</v>
      </c>
    </row>
    <row r="456" spans="1:2" x14ac:dyDescent="0.25">
      <c r="A456">
        <v>455</v>
      </c>
      <c r="B456">
        <v>1024</v>
      </c>
    </row>
    <row r="457" spans="1:2" x14ac:dyDescent="0.25">
      <c r="A457">
        <v>456</v>
      </c>
      <c r="B457">
        <v>1024</v>
      </c>
    </row>
    <row r="458" spans="1:2" x14ac:dyDescent="0.25">
      <c r="A458">
        <v>457</v>
      </c>
      <c r="B458">
        <v>1024</v>
      </c>
    </row>
    <row r="459" spans="1:2" x14ac:dyDescent="0.25">
      <c r="A459">
        <v>458</v>
      </c>
      <c r="B459">
        <v>1024</v>
      </c>
    </row>
    <row r="460" spans="1:2" x14ac:dyDescent="0.25">
      <c r="A460">
        <v>459</v>
      </c>
      <c r="B460">
        <v>1024</v>
      </c>
    </row>
    <row r="461" spans="1:2" x14ac:dyDescent="0.25">
      <c r="A461">
        <v>460</v>
      </c>
      <c r="B461">
        <v>1024</v>
      </c>
    </row>
    <row r="462" spans="1:2" x14ac:dyDescent="0.25">
      <c r="A462">
        <v>461</v>
      </c>
      <c r="B462">
        <v>1024</v>
      </c>
    </row>
    <row r="463" spans="1:2" x14ac:dyDescent="0.25">
      <c r="A463">
        <v>462</v>
      </c>
      <c r="B463">
        <v>1024</v>
      </c>
    </row>
    <row r="464" spans="1:2" x14ac:dyDescent="0.25">
      <c r="A464">
        <v>463</v>
      </c>
      <c r="B464">
        <v>1024</v>
      </c>
    </row>
    <row r="465" spans="1:2" x14ac:dyDescent="0.25">
      <c r="A465">
        <v>464</v>
      </c>
      <c r="B465">
        <v>1024</v>
      </c>
    </row>
    <row r="466" spans="1:2" x14ac:dyDescent="0.25">
      <c r="A466">
        <v>465</v>
      </c>
      <c r="B466">
        <v>1024</v>
      </c>
    </row>
    <row r="467" spans="1:2" x14ac:dyDescent="0.25">
      <c r="A467">
        <v>466</v>
      </c>
      <c r="B467">
        <v>1024</v>
      </c>
    </row>
    <row r="468" spans="1:2" x14ac:dyDescent="0.25">
      <c r="A468">
        <v>467</v>
      </c>
      <c r="B468">
        <v>1024</v>
      </c>
    </row>
    <row r="469" spans="1:2" x14ac:dyDescent="0.25">
      <c r="A469">
        <v>468</v>
      </c>
      <c r="B469">
        <v>1024</v>
      </c>
    </row>
    <row r="470" spans="1:2" x14ac:dyDescent="0.25">
      <c r="A470">
        <v>469</v>
      </c>
      <c r="B470">
        <v>1024</v>
      </c>
    </row>
    <row r="471" spans="1:2" x14ac:dyDescent="0.25">
      <c r="A471">
        <v>470</v>
      </c>
      <c r="B471">
        <v>1024</v>
      </c>
    </row>
    <row r="472" spans="1:2" x14ac:dyDescent="0.25">
      <c r="A472">
        <v>471</v>
      </c>
      <c r="B472">
        <v>1024</v>
      </c>
    </row>
    <row r="473" spans="1:2" x14ac:dyDescent="0.25">
      <c r="A473">
        <v>472</v>
      </c>
      <c r="B473">
        <v>1024</v>
      </c>
    </row>
    <row r="474" spans="1:2" x14ac:dyDescent="0.25">
      <c r="A474">
        <v>473</v>
      </c>
      <c r="B474">
        <v>1024</v>
      </c>
    </row>
    <row r="475" spans="1:2" x14ac:dyDescent="0.25">
      <c r="A475">
        <v>474</v>
      </c>
      <c r="B475">
        <v>1024</v>
      </c>
    </row>
    <row r="476" spans="1:2" x14ac:dyDescent="0.25">
      <c r="A476">
        <v>475</v>
      </c>
      <c r="B476">
        <v>1024</v>
      </c>
    </row>
    <row r="477" spans="1:2" x14ac:dyDescent="0.25">
      <c r="A477">
        <v>476</v>
      </c>
      <c r="B477">
        <v>1024</v>
      </c>
    </row>
    <row r="478" spans="1:2" x14ac:dyDescent="0.25">
      <c r="A478">
        <v>477</v>
      </c>
      <c r="B478">
        <v>1024</v>
      </c>
    </row>
    <row r="479" spans="1:2" x14ac:dyDescent="0.25">
      <c r="A479">
        <v>478</v>
      </c>
      <c r="B479">
        <v>1024</v>
      </c>
    </row>
    <row r="480" spans="1:2" x14ac:dyDescent="0.25">
      <c r="A480">
        <v>479</v>
      </c>
      <c r="B480">
        <v>1024</v>
      </c>
    </row>
    <row r="481" spans="1:2" x14ac:dyDescent="0.25">
      <c r="A481">
        <v>480</v>
      </c>
      <c r="B481">
        <v>1024</v>
      </c>
    </row>
    <row r="482" spans="1:2" x14ac:dyDescent="0.25">
      <c r="A482">
        <v>481</v>
      </c>
      <c r="B482">
        <v>1024</v>
      </c>
    </row>
    <row r="483" spans="1:2" x14ac:dyDescent="0.25">
      <c r="A483">
        <v>482</v>
      </c>
      <c r="B483">
        <v>1024</v>
      </c>
    </row>
    <row r="484" spans="1:2" x14ac:dyDescent="0.25">
      <c r="A484">
        <v>483</v>
      </c>
      <c r="B484">
        <v>1024</v>
      </c>
    </row>
    <row r="485" spans="1:2" x14ac:dyDescent="0.25">
      <c r="A485">
        <v>484</v>
      </c>
      <c r="B485">
        <v>1024</v>
      </c>
    </row>
    <row r="486" spans="1:2" x14ac:dyDescent="0.25">
      <c r="A486">
        <v>485</v>
      </c>
      <c r="B486">
        <v>1024</v>
      </c>
    </row>
    <row r="487" spans="1:2" x14ac:dyDescent="0.25">
      <c r="A487">
        <v>486</v>
      </c>
      <c r="B487">
        <v>1024</v>
      </c>
    </row>
    <row r="488" spans="1:2" x14ac:dyDescent="0.25">
      <c r="A488">
        <v>487</v>
      </c>
      <c r="B488">
        <v>1024</v>
      </c>
    </row>
    <row r="489" spans="1:2" x14ac:dyDescent="0.25">
      <c r="A489">
        <v>488</v>
      </c>
      <c r="B489">
        <v>1024</v>
      </c>
    </row>
    <row r="490" spans="1:2" x14ac:dyDescent="0.25">
      <c r="A490">
        <v>489</v>
      </c>
      <c r="B490">
        <v>1024</v>
      </c>
    </row>
    <row r="491" spans="1:2" x14ac:dyDescent="0.25">
      <c r="A491">
        <v>490</v>
      </c>
      <c r="B491">
        <v>1024</v>
      </c>
    </row>
    <row r="492" spans="1:2" x14ac:dyDescent="0.25">
      <c r="A492">
        <v>491</v>
      </c>
      <c r="B492">
        <v>1024</v>
      </c>
    </row>
    <row r="493" spans="1:2" x14ac:dyDescent="0.25">
      <c r="A493">
        <v>492</v>
      </c>
      <c r="B493">
        <v>1024</v>
      </c>
    </row>
    <row r="494" spans="1:2" x14ac:dyDescent="0.25">
      <c r="A494">
        <v>493</v>
      </c>
      <c r="B494">
        <v>1024</v>
      </c>
    </row>
    <row r="495" spans="1:2" x14ac:dyDescent="0.25">
      <c r="A495">
        <v>494</v>
      </c>
      <c r="B495">
        <v>1024</v>
      </c>
    </row>
    <row r="496" spans="1:2" x14ac:dyDescent="0.25">
      <c r="A496">
        <v>495</v>
      </c>
      <c r="B496">
        <v>1024</v>
      </c>
    </row>
    <row r="497" spans="1:2" x14ac:dyDescent="0.25">
      <c r="A497">
        <v>496</v>
      </c>
      <c r="B497">
        <v>1024</v>
      </c>
    </row>
    <row r="498" spans="1:2" x14ac:dyDescent="0.25">
      <c r="A498">
        <v>497</v>
      </c>
      <c r="B498">
        <v>1024</v>
      </c>
    </row>
    <row r="499" spans="1:2" x14ac:dyDescent="0.25">
      <c r="A499">
        <v>498</v>
      </c>
      <c r="B499">
        <v>1024</v>
      </c>
    </row>
    <row r="500" spans="1:2" x14ac:dyDescent="0.25">
      <c r="A500">
        <v>499</v>
      </c>
      <c r="B500">
        <v>1024</v>
      </c>
    </row>
    <row r="501" spans="1:2" x14ac:dyDescent="0.25">
      <c r="A501">
        <v>500</v>
      </c>
      <c r="B501">
        <v>1024</v>
      </c>
    </row>
    <row r="502" spans="1:2" x14ac:dyDescent="0.25">
      <c r="A502">
        <v>501</v>
      </c>
      <c r="B502">
        <v>1024</v>
      </c>
    </row>
    <row r="503" spans="1:2" x14ac:dyDescent="0.25">
      <c r="A503">
        <v>502</v>
      </c>
      <c r="B503">
        <v>1024</v>
      </c>
    </row>
    <row r="504" spans="1:2" x14ac:dyDescent="0.25">
      <c r="A504">
        <v>503</v>
      </c>
      <c r="B504">
        <v>1024</v>
      </c>
    </row>
    <row r="505" spans="1:2" x14ac:dyDescent="0.25">
      <c r="A505">
        <v>504</v>
      </c>
      <c r="B505">
        <v>1024</v>
      </c>
    </row>
    <row r="506" spans="1:2" x14ac:dyDescent="0.25">
      <c r="A506">
        <v>505</v>
      </c>
      <c r="B506">
        <v>1024</v>
      </c>
    </row>
    <row r="507" spans="1:2" x14ac:dyDescent="0.25">
      <c r="A507">
        <v>506</v>
      </c>
      <c r="B507">
        <v>1024</v>
      </c>
    </row>
    <row r="508" spans="1:2" x14ac:dyDescent="0.25">
      <c r="A508">
        <v>507</v>
      </c>
      <c r="B508">
        <v>1024</v>
      </c>
    </row>
    <row r="509" spans="1:2" x14ac:dyDescent="0.25">
      <c r="A509">
        <v>508</v>
      </c>
      <c r="B509">
        <v>1024</v>
      </c>
    </row>
    <row r="510" spans="1:2" x14ac:dyDescent="0.25">
      <c r="A510">
        <v>509</v>
      </c>
      <c r="B510">
        <v>1024</v>
      </c>
    </row>
    <row r="511" spans="1:2" x14ac:dyDescent="0.25">
      <c r="A511">
        <v>510</v>
      </c>
      <c r="B511">
        <v>1024</v>
      </c>
    </row>
    <row r="512" spans="1:2" x14ac:dyDescent="0.25">
      <c r="A512">
        <v>511</v>
      </c>
      <c r="B512">
        <v>1024</v>
      </c>
    </row>
    <row r="513" spans="1:2" x14ac:dyDescent="0.25">
      <c r="A513">
        <v>512</v>
      </c>
      <c r="B513">
        <v>1024</v>
      </c>
    </row>
    <row r="514" spans="1:2" x14ac:dyDescent="0.25">
      <c r="A514">
        <v>513</v>
      </c>
      <c r="B514">
        <v>1024</v>
      </c>
    </row>
    <row r="515" spans="1:2" x14ac:dyDescent="0.25">
      <c r="A515">
        <v>514</v>
      </c>
      <c r="B515">
        <v>1024</v>
      </c>
    </row>
    <row r="516" spans="1:2" x14ac:dyDescent="0.25">
      <c r="A516">
        <v>515</v>
      </c>
      <c r="B516">
        <v>1024</v>
      </c>
    </row>
    <row r="517" spans="1:2" x14ac:dyDescent="0.25">
      <c r="A517">
        <v>516</v>
      </c>
      <c r="B517">
        <v>1024</v>
      </c>
    </row>
    <row r="518" spans="1:2" x14ac:dyDescent="0.25">
      <c r="A518">
        <v>517</v>
      </c>
      <c r="B518">
        <v>1024</v>
      </c>
    </row>
    <row r="519" spans="1:2" x14ac:dyDescent="0.25">
      <c r="A519">
        <v>518</v>
      </c>
      <c r="B519">
        <v>1024</v>
      </c>
    </row>
    <row r="520" spans="1:2" x14ac:dyDescent="0.25">
      <c r="A520">
        <v>519</v>
      </c>
      <c r="B520">
        <v>1024</v>
      </c>
    </row>
    <row r="521" spans="1:2" x14ac:dyDescent="0.25">
      <c r="A521">
        <v>520</v>
      </c>
      <c r="B521">
        <v>1024</v>
      </c>
    </row>
    <row r="522" spans="1:2" x14ac:dyDescent="0.25">
      <c r="A522">
        <v>521</v>
      </c>
      <c r="B522">
        <v>1024</v>
      </c>
    </row>
    <row r="523" spans="1:2" x14ac:dyDescent="0.25">
      <c r="A523">
        <v>522</v>
      </c>
      <c r="B523">
        <v>1024</v>
      </c>
    </row>
    <row r="524" spans="1:2" x14ac:dyDescent="0.25">
      <c r="A524">
        <v>523</v>
      </c>
      <c r="B524">
        <v>1024</v>
      </c>
    </row>
    <row r="525" spans="1:2" x14ac:dyDescent="0.25">
      <c r="A525">
        <v>524</v>
      </c>
      <c r="B525">
        <v>1024</v>
      </c>
    </row>
    <row r="526" spans="1:2" x14ac:dyDescent="0.25">
      <c r="A526">
        <v>525</v>
      </c>
      <c r="B526">
        <v>1024</v>
      </c>
    </row>
    <row r="527" spans="1:2" x14ac:dyDescent="0.25">
      <c r="A527">
        <v>526</v>
      </c>
      <c r="B527">
        <v>1024</v>
      </c>
    </row>
    <row r="528" spans="1:2" x14ac:dyDescent="0.25">
      <c r="A528">
        <v>527</v>
      </c>
      <c r="B528">
        <v>1024</v>
      </c>
    </row>
    <row r="529" spans="1:2" x14ac:dyDescent="0.25">
      <c r="A529">
        <v>528</v>
      </c>
      <c r="B529">
        <v>1024</v>
      </c>
    </row>
    <row r="530" spans="1:2" x14ac:dyDescent="0.25">
      <c r="A530">
        <v>529</v>
      </c>
      <c r="B530">
        <v>1024</v>
      </c>
    </row>
    <row r="531" spans="1:2" x14ac:dyDescent="0.25">
      <c r="A531">
        <v>530</v>
      </c>
      <c r="B531">
        <v>1024</v>
      </c>
    </row>
    <row r="532" spans="1:2" x14ac:dyDescent="0.25">
      <c r="A532">
        <v>531</v>
      </c>
      <c r="B532">
        <v>1024</v>
      </c>
    </row>
    <row r="533" spans="1:2" x14ac:dyDescent="0.25">
      <c r="A533">
        <v>532</v>
      </c>
      <c r="B533">
        <v>1024</v>
      </c>
    </row>
    <row r="534" spans="1:2" x14ac:dyDescent="0.25">
      <c r="A534">
        <v>533</v>
      </c>
      <c r="B534">
        <v>1024</v>
      </c>
    </row>
    <row r="535" spans="1:2" x14ac:dyDescent="0.25">
      <c r="A535">
        <v>534</v>
      </c>
      <c r="B535">
        <v>1024</v>
      </c>
    </row>
    <row r="536" spans="1:2" x14ac:dyDescent="0.25">
      <c r="A536">
        <v>535</v>
      </c>
      <c r="B536">
        <v>1024</v>
      </c>
    </row>
    <row r="537" spans="1:2" x14ac:dyDescent="0.25">
      <c r="A537">
        <v>536</v>
      </c>
      <c r="B537">
        <v>1024</v>
      </c>
    </row>
    <row r="538" spans="1:2" x14ac:dyDescent="0.25">
      <c r="A538">
        <v>537</v>
      </c>
      <c r="B538">
        <v>1024</v>
      </c>
    </row>
    <row r="539" spans="1:2" x14ac:dyDescent="0.25">
      <c r="A539">
        <v>538</v>
      </c>
      <c r="B539">
        <v>1024</v>
      </c>
    </row>
    <row r="540" spans="1:2" x14ac:dyDescent="0.25">
      <c r="A540">
        <v>539</v>
      </c>
      <c r="B540">
        <v>1024</v>
      </c>
    </row>
    <row r="541" spans="1:2" x14ac:dyDescent="0.25">
      <c r="A541">
        <v>540</v>
      </c>
      <c r="B541">
        <v>1024</v>
      </c>
    </row>
    <row r="542" spans="1:2" x14ac:dyDescent="0.25">
      <c r="A542">
        <v>541</v>
      </c>
      <c r="B542">
        <v>1024</v>
      </c>
    </row>
    <row r="543" spans="1:2" x14ac:dyDescent="0.25">
      <c r="A543">
        <v>542</v>
      </c>
      <c r="B543">
        <v>1024</v>
      </c>
    </row>
    <row r="544" spans="1:2" x14ac:dyDescent="0.25">
      <c r="A544">
        <v>543</v>
      </c>
      <c r="B544">
        <v>1024</v>
      </c>
    </row>
    <row r="545" spans="1:2" x14ac:dyDescent="0.25">
      <c r="A545">
        <v>544</v>
      </c>
      <c r="B545">
        <v>1024</v>
      </c>
    </row>
    <row r="546" spans="1:2" x14ac:dyDescent="0.25">
      <c r="A546">
        <v>545</v>
      </c>
      <c r="B546">
        <v>1024</v>
      </c>
    </row>
    <row r="547" spans="1:2" x14ac:dyDescent="0.25">
      <c r="A547">
        <v>546</v>
      </c>
      <c r="B547">
        <v>1024</v>
      </c>
    </row>
    <row r="548" spans="1:2" x14ac:dyDescent="0.25">
      <c r="A548">
        <v>547</v>
      </c>
      <c r="B548">
        <v>1024</v>
      </c>
    </row>
    <row r="549" spans="1:2" x14ac:dyDescent="0.25">
      <c r="A549">
        <v>548</v>
      </c>
      <c r="B549">
        <v>1024</v>
      </c>
    </row>
    <row r="550" spans="1:2" x14ac:dyDescent="0.25">
      <c r="A550">
        <v>549</v>
      </c>
      <c r="B550">
        <v>1024</v>
      </c>
    </row>
    <row r="551" spans="1:2" x14ac:dyDescent="0.25">
      <c r="A551">
        <v>550</v>
      </c>
      <c r="B551">
        <v>1024</v>
      </c>
    </row>
    <row r="552" spans="1:2" x14ac:dyDescent="0.25">
      <c r="A552">
        <v>551</v>
      </c>
      <c r="B552">
        <v>1024</v>
      </c>
    </row>
    <row r="553" spans="1:2" x14ac:dyDescent="0.25">
      <c r="A553">
        <v>552</v>
      </c>
      <c r="B553">
        <v>1024</v>
      </c>
    </row>
    <row r="554" spans="1:2" x14ac:dyDescent="0.25">
      <c r="A554">
        <v>553</v>
      </c>
      <c r="B554">
        <v>1024</v>
      </c>
    </row>
    <row r="555" spans="1:2" x14ac:dyDescent="0.25">
      <c r="A555">
        <v>554</v>
      </c>
      <c r="B555">
        <v>1024</v>
      </c>
    </row>
    <row r="556" spans="1:2" x14ac:dyDescent="0.25">
      <c r="A556">
        <v>555</v>
      </c>
      <c r="B556">
        <v>1024</v>
      </c>
    </row>
    <row r="557" spans="1:2" x14ac:dyDescent="0.25">
      <c r="A557">
        <v>556</v>
      </c>
      <c r="B557">
        <v>1024</v>
      </c>
    </row>
    <row r="558" spans="1:2" x14ac:dyDescent="0.25">
      <c r="A558">
        <v>557</v>
      </c>
      <c r="B558">
        <v>1024</v>
      </c>
    </row>
    <row r="559" spans="1:2" x14ac:dyDescent="0.25">
      <c r="A559">
        <v>558</v>
      </c>
      <c r="B559">
        <v>1024</v>
      </c>
    </row>
    <row r="560" spans="1:2" x14ac:dyDescent="0.25">
      <c r="A560">
        <v>559</v>
      </c>
      <c r="B560">
        <v>1024</v>
      </c>
    </row>
    <row r="561" spans="1:2" x14ac:dyDescent="0.25">
      <c r="A561">
        <v>560</v>
      </c>
      <c r="B561">
        <v>1024</v>
      </c>
    </row>
    <row r="562" spans="1:2" x14ac:dyDescent="0.25">
      <c r="A562">
        <v>561</v>
      </c>
      <c r="B562">
        <v>1024</v>
      </c>
    </row>
    <row r="563" spans="1:2" x14ac:dyDescent="0.25">
      <c r="A563">
        <v>562</v>
      </c>
      <c r="B563">
        <v>1024</v>
      </c>
    </row>
    <row r="564" spans="1:2" x14ac:dyDescent="0.25">
      <c r="A564">
        <v>563</v>
      </c>
      <c r="B564">
        <v>1024</v>
      </c>
    </row>
    <row r="565" spans="1:2" x14ac:dyDescent="0.25">
      <c r="A565">
        <v>564</v>
      </c>
      <c r="B565">
        <v>1024</v>
      </c>
    </row>
    <row r="566" spans="1:2" x14ac:dyDescent="0.25">
      <c r="A566">
        <v>565</v>
      </c>
      <c r="B566">
        <v>1024</v>
      </c>
    </row>
    <row r="567" spans="1:2" x14ac:dyDescent="0.25">
      <c r="A567">
        <v>566</v>
      </c>
      <c r="B567">
        <v>1024</v>
      </c>
    </row>
    <row r="568" spans="1:2" x14ac:dyDescent="0.25">
      <c r="A568">
        <v>567</v>
      </c>
      <c r="B568">
        <v>1024</v>
      </c>
    </row>
    <row r="569" spans="1:2" x14ac:dyDescent="0.25">
      <c r="A569">
        <v>568</v>
      </c>
      <c r="B569">
        <v>1024</v>
      </c>
    </row>
    <row r="570" spans="1:2" x14ac:dyDescent="0.25">
      <c r="A570">
        <v>569</v>
      </c>
      <c r="B570">
        <v>1024</v>
      </c>
    </row>
    <row r="571" spans="1:2" x14ac:dyDescent="0.25">
      <c r="A571">
        <v>570</v>
      </c>
      <c r="B571">
        <v>1024</v>
      </c>
    </row>
    <row r="572" spans="1:2" x14ac:dyDescent="0.25">
      <c r="A572">
        <v>571</v>
      </c>
      <c r="B572">
        <v>1024</v>
      </c>
    </row>
    <row r="573" spans="1:2" x14ac:dyDescent="0.25">
      <c r="A573">
        <v>572</v>
      </c>
      <c r="B573">
        <v>1024</v>
      </c>
    </row>
    <row r="574" spans="1:2" x14ac:dyDescent="0.25">
      <c r="A574">
        <v>573</v>
      </c>
      <c r="B574">
        <v>1024</v>
      </c>
    </row>
    <row r="575" spans="1:2" x14ac:dyDescent="0.25">
      <c r="A575">
        <v>574</v>
      </c>
      <c r="B575">
        <v>1024</v>
      </c>
    </row>
    <row r="576" spans="1:2" x14ac:dyDescent="0.25">
      <c r="A576">
        <v>575</v>
      </c>
      <c r="B576">
        <v>1024</v>
      </c>
    </row>
    <row r="577" spans="1:2" x14ac:dyDescent="0.25">
      <c r="A577">
        <v>576</v>
      </c>
      <c r="B577">
        <v>1024</v>
      </c>
    </row>
    <row r="578" spans="1:2" x14ac:dyDescent="0.25">
      <c r="A578">
        <v>577</v>
      </c>
      <c r="B578">
        <v>1024</v>
      </c>
    </row>
    <row r="579" spans="1:2" x14ac:dyDescent="0.25">
      <c r="A579">
        <v>578</v>
      </c>
      <c r="B579">
        <v>1024</v>
      </c>
    </row>
    <row r="580" spans="1:2" x14ac:dyDescent="0.25">
      <c r="A580">
        <v>579</v>
      </c>
      <c r="B580">
        <v>1024</v>
      </c>
    </row>
    <row r="581" spans="1:2" x14ac:dyDescent="0.25">
      <c r="A581">
        <v>580</v>
      </c>
      <c r="B581">
        <v>1024</v>
      </c>
    </row>
    <row r="582" spans="1:2" x14ac:dyDescent="0.25">
      <c r="A582">
        <v>581</v>
      </c>
      <c r="B582">
        <v>1024</v>
      </c>
    </row>
    <row r="583" spans="1:2" x14ac:dyDescent="0.25">
      <c r="A583">
        <v>582</v>
      </c>
      <c r="B583">
        <v>1024</v>
      </c>
    </row>
    <row r="584" spans="1:2" x14ac:dyDescent="0.25">
      <c r="A584">
        <v>583</v>
      </c>
      <c r="B584">
        <v>1024</v>
      </c>
    </row>
    <row r="585" spans="1:2" x14ac:dyDescent="0.25">
      <c r="A585">
        <v>584</v>
      </c>
      <c r="B585">
        <v>1024</v>
      </c>
    </row>
    <row r="586" spans="1:2" x14ac:dyDescent="0.25">
      <c r="A586">
        <v>585</v>
      </c>
      <c r="B586">
        <v>1024</v>
      </c>
    </row>
    <row r="587" spans="1:2" x14ac:dyDescent="0.25">
      <c r="A587">
        <v>586</v>
      </c>
      <c r="B587">
        <v>1024</v>
      </c>
    </row>
    <row r="588" spans="1:2" x14ac:dyDescent="0.25">
      <c r="A588">
        <v>587</v>
      </c>
      <c r="B588">
        <v>1024</v>
      </c>
    </row>
    <row r="589" spans="1:2" x14ac:dyDescent="0.25">
      <c r="A589">
        <v>588</v>
      </c>
      <c r="B589">
        <v>1024</v>
      </c>
    </row>
    <row r="590" spans="1:2" x14ac:dyDescent="0.25">
      <c r="A590">
        <v>589</v>
      </c>
      <c r="B590">
        <v>1024</v>
      </c>
    </row>
    <row r="591" spans="1:2" x14ac:dyDescent="0.25">
      <c r="A591">
        <v>590</v>
      </c>
      <c r="B591">
        <v>1024</v>
      </c>
    </row>
    <row r="592" spans="1:2" x14ac:dyDescent="0.25">
      <c r="A592">
        <v>591</v>
      </c>
      <c r="B592">
        <v>1024</v>
      </c>
    </row>
    <row r="593" spans="1:2" x14ac:dyDescent="0.25">
      <c r="A593">
        <v>592</v>
      </c>
      <c r="B593">
        <v>1024</v>
      </c>
    </row>
    <row r="594" spans="1:2" x14ac:dyDescent="0.25">
      <c r="A594">
        <v>593</v>
      </c>
      <c r="B594">
        <v>1024</v>
      </c>
    </row>
    <row r="595" spans="1:2" x14ac:dyDescent="0.25">
      <c r="A595">
        <v>594</v>
      </c>
      <c r="B595">
        <v>1024</v>
      </c>
    </row>
    <row r="596" spans="1:2" x14ac:dyDescent="0.25">
      <c r="A596">
        <v>595</v>
      </c>
      <c r="B596">
        <v>1024</v>
      </c>
    </row>
    <row r="597" spans="1:2" x14ac:dyDescent="0.25">
      <c r="A597">
        <v>596</v>
      </c>
      <c r="B597">
        <v>1024</v>
      </c>
    </row>
    <row r="598" spans="1:2" x14ac:dyDescent="0.25">
      <c r="A598">
        <v>597</v>
      </c>
      <c r="B598">
        <v>1024</v>
      </c>
    </row>
    <row r="599" spans="1:2" x14ac:dyDescent="0.25">
      <c r="A599">
        <v>598</v>
      </c>
      <c r="B599">
        <v>1024</v>
      </c>
    </row>
    <row r="600" spans="1:2" x14ac:dyDescent="0.25">
      <c r="A600">
        <v>599</v>
      </c>
      <c r="B600">
        <v>1024</v>
      </c>
    </row>
    <row r="601" spans="1:2" x14ac:dyDescent="0.25">
      <c r="A601">
        <v>600</v>
      </c>
      <c r="B601">
        <v>1024</v>
      </c>
    </row>
    <row r="602" spans="1:2" x14ac:dyDescent="0.25">
      <c r="A602">
        <v>601</v>
      </c>
      <c r="B602">
        <v>1024</v>
      </c>
    </row>
    <row r="603" spans="1:2" x14ac:dyDescent="0.25">
      <c r="A603">
        <v>602</v>
      </c>
      <c r="B603">
        <v>1024</v>
      </c>
    </row>
    <row r="604" spans="1:2" x14ac:dyDescent="0.25">
      <c r="A604">
        <v>603</v>
      </c>
      <c r="B604">
        <v>1024</v>
      </c>
    </row>
    <row r="605" spans="1:2" x14ac:dyDescent="0.25">
      <c r="A605">
        <v>604</v>
      </c>
      <c r="B605">
        <v>1024</v>
      </c>
    </row>
    <row r="606" spans="1:2" x14ac:dyDescent="0.25">
      <c r="A606">
        <v>605</v>
      </c>
      <c r="B606">
        <v>1024</v>
      </c>
    </row>
    <row r="607" spans="1:2" x14ac:dyDescent="0.25">
      <c r="A607">
        <v>606</v>
      </c>
      <c r="B607">
        <v>1024</v>
      </c>
    </row>
    <row r="608" spans="1:2" x14ac:dyDescent="0.25">
      <c r="A608">
        <v>607</v>
      </c>
      <c r="B608">
        <v>1024</v>
      </c>
    </row>
    <row r="609" spans="1:2" x14ac:dyDescent="0.25">
      <c r="A609">
        <v>608</v>
      </c>
      <c r="B609">
        <v>1024</v>
      </c>
    </row>
    <row r="610" spans="1:2" x14ac:dyDescent="0.25">
      <c r="A610">
        <v>609</v>
      </c>
      <c r="B610">
        <v>1024</v>
      </c>
    </row>
    <row r="611" spans="1:2" x14ac:dyDescent="0.25">
      <c r="A611">
        <v>610</v>
      </c>
      <c r="B611">
        <v>1024</v>
      </c>
    </row>
    <row r="612" spans="1:2" x14ac:dyDescent="0.25">
      <c r="A612">
        <v>611</v>
      </c>
      <c r="B612">
        <v>1024</v>
      </c>
    </row>
    <row r="613" spans="1:2" x14ac:dyDescent="0.25">
      <c r="A613">
        <v>612</v>
      </c>
      <c r="B613">
        <v>1024</v>
      </c>
    </row>
    <row r="614" spans="1:2" x14ac:dyDescent="0.25">
      <c r="A614">
        <v>613</v>
      </c>
      <c r="B614">
        <v>1024</v>
      </c>
    </row>
    <row r="615" spans="1:2" x14ac:dyDescent="0.25">
      <c r="A615">
        <v>614</v>
      </c>
      <c r="B615">
        <v>1024</v>
      </c>
    </row>
    <row r="616" spans="1:2" x14ac:dyDescent="0.25">
      <c r="A616">
        <v>615</v>
      </c>
      <c r="B616">
        <v>1024</v>
      </c>
    </row>
    <row r="617" spans="1:2" x14ac:dyDescent="0.25">
      <c r="A617">
        <v>616</v>
      </c>
      <c r="B617">
        <v>1024</v>
      </c>
    </row>
    <row r="618" spans="1:2" x14ac:dyDescent="0.25">
      <c r="A618">
        <v>617</v>
      </c>
      <c r="B618">
        <v>1024</v>
      </c>
    </row>
    <row r="619" spans="1:2" x14ac:dyDescent="0.25">
      <c r="A619">
        <v>618</v>
      </c>
      <c r="B619">
        <v>1024</v>
      </c>
    </row>
    <row r="620" spans="1:2" x14ac:dyDescent="0.25">
      <c r="A620">
        <v>619</v>
      </c>
      <c r="B620">
        <v>1024</v>
      </c>
    </row>
    <row r="621" spans="1:2" x14ac:dyDescent="0.25">
      <c r="A621">
        <v>620</v>
      </c>
      <c r="B621">
        <v>1024</v>
      </c>
    </row>
    <row r="622" spans="1:2" x14ac:dyDescent="0.25">
      <c r="A622">
        <v>621</v>
      </c>
      <c r="B622">
        <v>1024</v>
      </c>
    </row>
    <row r="623" spans="1:2" x14ac:dyDescent="0.25">
      <c r="A623">
        <v>622</v>
      </c>
      <c r="B623">
        <v>1024</v>
      </c>
    </row>
    <row r="624" spans="1:2" x14ac:dyDescent="0.25">
      <c r="A624">
        <v>623</v>
      </c>
      <c r="B624">
        <v>1024</v>
      </c>
    </row>
    <row r="625" spans="1:2" x14ac:dyDescent="0.25">
      <c r="A625">
        <v>624</v>
      </c>
      <c r="B625">
        <v>1024</v>
      </c>
    </row>
    <row r="626" spans="1:2" x14ac:dyDescent="0.25">
      <c r="A626">
        <v>625</v>
      </c>
      <c r="B626">
        <v>1024</v>
      </c>
    </row>
    <row r="627" spans="1:2" x14ac:dyDescent="0.25">
      <c r="A627">
        <v>626</v>
      </c>
      <c r="B627">
        <v>1024</v>
      </c>
    </row>
    <row r="628" spans="1:2" x14ac:dyDescent="0.25">
      <c r="A628">
        <v>627</v>
      </c>
      <c r="B628">
        <v>1024</v>
      </c>
    </row>
    <row r="629" spans="1:2" x14ac:dyDescent="0.25">
      <c r="A629">
        <v>628</v>
      </c>
      <c r="B629">
        <v>1024</v>
      </c>
    </row>
    <row r="630" spans="1:2" x14ac:dyDescent="0.25">
      <c r="A630">
        <v>629</v>
      </c>
      <c r="B630">
        <v>1024</v>
      </c>
    </row>
    <row r="631" spans="1:2" x14ac:dyDescent="0.25">
      <c r="A631">
        <v>630</v>
      </c>
      <c r="B631">
        <v>1024</v>
      </c>
    </row>
    <row r="632" spans="1:2" x14ac:dyDescent="0.25">
      <c r="A632">
        <v>631</v>
      </c>
      <c r="B632">
        <v>1024</v>
      </c>
    </row>
    <row r="633" spans="1:2" x14ac:dyDescent="0.25">
      <c r="A633">
        <v>632</v>
      </c>
      <c r="B633">
        <v>1024</v>
      </c>
    </row>
    <row r="634" spans="1:2" x14ac:dyDescent="0.25">
      <c r="A634">
        <v>633</v>
      </c>
      <c r="B634">
        <v>1024</v>
      </c>
    </row>
    <row r="635" spans="1:2" x14ac:dyDescent="0.25">
      <c r="A635">
        <v>634</v>
      </c>
      <c r="B635">
        <v>1024</v>
      </c>
    </row>
    <row r="636" spans="1:2" x14ac:dyDescent="0.25">
      <c r="A636">
        <v>635</v>
      </c>
      <c r="B636">
        <v>1024</v>
      </c>
    </row>
    <row r="637" spans="1:2" x14ac:dyDescent="0.25">
      <c r="A637">
        <v>636</v>
      </c>
      <c r="B637">
        <v>1024</v>
      </c>
    </row>
    <row r="638" spans="1:2" x14ac:dyDescent="0.25">
      <c r="A638">
        <v>637</v>
      </c>
      <c r="B638">
        <v>1024</v>
      </c>
    </row>
    <row r="639" spans="1:2" x14ac:dyDescent="0.25">
      <c r="A639">
        <v>638</v>
      </c>
      <c r="B639">
        <v>1024</v>
      </c>
    </row>
    <row r="640" spans="1:2" x14ac:dyDescent="0.25">
      <c r="A640">
        <v>639</v>
      </c>
      <c r="B640">
        <v>1024</v>
      </c>
    </row>
    <row r="641" spans="1:2" x14ac:dyDescent="0.25">
      <c r="A641">
        <v>640</v>
      </c>
      <c r="B641">
        <v>1024</v>
      </c>
    </row>
    <row r="642" spans="1:2" x14ac:dyDescent="0.25">
      <c r="A642">
        <v>641</v>
      </c>
      <c r="B642">
        <v>1024</v>
      </c>
    </row>
    <row r="643" spans="1:2" x14ac:dyDescent="0.25">
      <c r="A643">
        <v>642</v>
      </c>
      <c r="B643">
        <v>1024</v>
      </c>
    </row>
    <row r="644" spans="1:2" x14ac:dyDescent="0.25">
      <c r="A644">
        <v>643</v>
      </c>
      <c r="B644">
        <v>1024</v>
      </c>
    </row>
    <row r="645" spans="1:2" x14ac:dyDescent="0.25">
      <c r="A645">
        <v>644</v>
      </c>
      <c r="B645">
        <v>1024</v>
      </c>
    </row>
    <row r="646" spans="1:2" x14ac:dyDescent="0.25">
      <c r="A646">
        <v>645</v>
      </c>
      <c r="B646">
        <v>1024</v>
      </c>
    </row>
    <row r="647" spans="1:2" x14ac:dyDescent="0.25">
      <c r="A647">
        <v>646</v>
      </c>
      <c r="B647">
        <v>1024</v>
      </c>
    </row>
    <row r="648" spans="1:2" x14ac:dyDescent="0.25">
      <c r="A648">
        <v>647</v>
      </c>
      <c r="B648">
        <v>1024</v>
      </c>
    </row>
    <row r="649" spans="1:2" x14ac:dyDescent="0.25">
      <c r="A649">
        <v>648</v>
      </c>
      <c r="B649">
        <v>1024</v>
      </c>
    </row>
    <row r="650" spans="1:2" x14ac:dyDescent="0.25">
      <c r="A650">
        <v>649</v>
      </c>
      <c r="B650">
        <v>1024</v>
      </c>
    </row>
    <row r="651" spans="1:2" x14ac:dyDescent="0.25">
      <c r="A651">
        <v>650</v>
      </c>
      <c r="B651">
        <v>1024</v>
      </c>
    </row>
    <row r="652" spans="1:2" x14ac:dyDescent="0.25">
      <c r="A652">
        <v>651</v>
      </c>
      <c r="B652">
        <v>1024</v>
      </c>
    </row>
    <row r="653" spans="1:2" x14ac:dyDescent="0.25">
      <c r="A653">
        <v>652</v>
      </c>
      <c r="B653">
        <v>1024</v>
      </c>
    </row>
    <row r="654" spans="1:2" x14ac:dyDescent="0.25">
      <c r="A654">
        <v>653</v>
      </c>
      <c r="B654">
        <v>1024</v>
      </c>
    </row>
    <row r="655" spans="1:2" x14ac:dyDescent="0.25">
      <c r="A655">
        <v>654</v>
      </c>
      <c r="B655">
        <v>1024</v>
      </c>
    </row>
    <row r="656" spans="1:2" x14ac:dyDescent="0.25">
      <c r="A656">
        <v>655</v>
      </c>
      <c r="B656">
        <v>1024</v>
      </c>
    </row>
    <row r="657" spans="1:2" x14ac:dyDescent="0.25">
      <c r="A657">
        <v>656</v>
      </c>
      <c r="B657">
        <v>1024</v>
      </c>
    </row>
    <row r="658" spans="1:2" x14ac:dyDescent="0.25">
      <c r="A658">
        <v>657</v>
      </c>
      <c r="B658">
        <v>1024</v>
      </c>
    </row>
    <row r="659" spans="1:2" x14ac:dyDescent="0.25">
      <c r="A659">
        <v>658</v>
      </c>
      <c r="B659">
        <v>1024</v>
      </c>
    </row>
    <row r="660" spans="1:2" x14ac:dyDescent="0.25">
      <c r="A660">
        <v>659</v>
      </c>
      <c r="B660">
        <v>1024</v>
      </c>
    </row>
    <row r="661" spans="1:2" x14ac:dyDescent="0.25">
      <c r="A661">
        <v>660</v>
      </c>
      <c r="B661">
        <v>1024</v>
      </c>
    </row>
    <row r="662" spans="1:2" x14ac:dyDescent="0.25">
      <c r="A662">
        <v>661</v>
      </c>
      <c r="B662">
        <v>1024</v>
      </c>
    </row>
    <row r="663" spans="1:2" x14ac:dyDescent="0.25">
      <c r="A663">
        <v>662</v>
      </c>
      <c r="B663">
        <v>1024</v>
      </c>
    </row>
    <row r="664" spans="1:2" x14ac:dyDescent="0.25">
      <c r="A664">
        <v>663</v>
      </c>
      <c r="B664">
        <v>1024</v>
      </c>
    </row>
    <row r="665" spans="1:2" x14ac:dyDescent="0.25">
      <c r="A665">
        <v>664</v>
      </c>
      <c r="B665">
        <v>1024</v>
      </c>
    </row>
    <row r="666" spans="1:2" x14ac:dyDescent="0.25">
      <c r="A666">
        <v>665</v>
      </c>
      <c r="B666">
        <v>1024</v>
      </c>
    </row>
    <row r="667" spans="1:2" x14ac:dyDescent="0.25">
      <c r="A667">
        <v>666</v>
      </c>
      <c r="B667">
        <v>1024</v>
      </c>
    </row>
    <row r="668" spans="1:2" x14ac:dyDescent="0.25">
      <c r="A668">
        <v>667</v>
      </c>
      <c r="B668">
        <v>1024</v>
      </c>
    </row>
    <row r="669" spans="1:2" x14ac:dyDescent="0.25">
      <c r="A669">
        <v>668</v>
      </c>
      <c r="B669">
        <v>1024</v>
      </c>
    </row>
    <row r="670" spans="1:2" x14ac:dyDescent="0.25">
      <c r="A670">
        <v>669</v>
      </c>
      <c r="B670">
        <v>1024</v>
      </c>
    </row>
    <row r="671" spans="1:2" x14ac:dyDescent="0.25">
      <c r="A671">
        <v>670</v>
      </c>
      <c r="B671">
        <v>1024</v>
      </c>
    </row>
    <row r="672" spans="1:2" x14ac:dyDescent="0.25">
      <c r="A672">
        <v>671</v>
      </c>
      <c r="B672">
        <v>1024</v>
      </c>
    </row>
    <row r="673" spans="1:2" x14ac:dyDescent="0.25">
      <c r="A673">
        <v>672</v>
      </c>
      <c r="B673">
        <v>1024</v>
      </c>
    </row>
    <row r="674" spans="1:2" x14ac:dyDescent="0.25">
      <c r="A674">
        <v>673</v>
      </c>
      <c r="B674">
        <v>1024</v>
      </c>
    </row>
    <row r="675" spans="1:2" x14ac:dyDescent="0.25">
      <c r="A675">
        <v>674</v>
      </c>
      <c r="B675">
        <v>1024</v>
      </c>
    </row>
    <row r="676" spans="1:2" x14ac:dyDescent="0.25">
      <c r="A676">
        <v>675</v>
      </c>
      <c r="B676">
        <v>1024</v>
      </c>
    </row>
    <row r="677" spans="1:2" x14ac:dyDescent="0.25">
      <c r="A677">
        <v>676</v>
      </c>
      <c r="B677">
        <v>1024</v>
      </c>
    </row>
    <row r="678" spans="1:2" x14ac:dyDescent="0.25">
      <c r="A678">
        <v>677</v>
      </c>
      <c r="B678">
        <v>1024</v>
      </c>
    </row>
    <row r="679" spans="1:2" x14ac:dyDescent="0.25">
      <c r="A679">
        <v>678</v>
      </c>
      <c r="B679">
        <v>1024</v>
      </c>
    </row>
    <row r="680" spans="1:2" x14ac:dyDescent="0.25">
      <c r="A680">
        <v>679</v>
      </c>
      <c r="B680">
        <v>1024</v>
      </c>
    </row>
    <row r="681" spans="1:2" x14ac:dyDescent="0.25">
      <c r="A681">
        <v>680</v>
      </c>
      <c r="B681">
        <v>1024</v>
      </c>
    </row>
    <row r="682" spans="1:2" x14ac:dyDescent="0.25">
      <c r="A682">
        <v>681</v>
      </c>
      <c r="B682">
        <v>1024</v>
      </c>
    </row>
    <row r="683" spans="1:2" x14ac:dyDescent="0.25">
      <c r="A683">
        <v>682</v>
      </c>
      <c r="B683">
        <v>1024</v>
      </c>
    </row>
    <row r="684" spans="1:2" x14ac:dyDescent="0.25">
      <c r="A684">
        <v>683</v>
      </c>
      <c r="B684">
        <v>1024</v>
      </c>
    </row>
    <row r="685" spans="1:2" x14ac:dyDescent="0.25">
      <c r="A685">
        <v>684</v>
      </c>
      <c r="B685">
        <v>1024</v>
      </c>
    </row>
    <row r="686" spans="1:2" x14ac:dyDescent="0.25">
      <c r="A686">
        <v>685</v>
      </c>
      <c r="B686">
        <v>1024</v>
      </c>
    </row>
    <row r="687" spans="1:2" x14ac:dyDescent="0.25">
      <c r="A687">
        <v>686</v>
      </c>
      <c r="B687">
        <v>1024</v>
      </c>
    </row>
    <row r="688" spans="1:2" x14ac:dyDescent="0.25">
      <c r="A688">
        <v>687</v>
      </c>
      <c r="B688">
        <v>1024</v>
      </c>
    </row>
    <row r="689" spans="1:2" x14ac:dyDescent="0.25">
      <c r="A689">
        <v>688</v>
      </c>
      <c r="B689">
        <v>1024</v>
      </c>
    </row>
    <row r="690" spans="1:2" x14ac:dyDescent="0.25">
      <c r="A690">
        <v>689</v>
      </c>
      <c r="B690">
        <v>1024</v>
      </c>
    </row>
    <row r="691" spans="1:2" x14ac:dyDescent="0.25">
      <c r="A691">
        <v>690</v>
      </c>
      <c r="B691">
        <v>1024</v>
      </c>
    </row>
    <row r="692" spans="1:2" x14ac:dyDescent="0.25">
      <c r="A692">
        <v>691</v>
      </c>
      <c r="B692">
        <v>1024</v>
      </c>
    </row>
    <row r="693" spans="1:2" x14ac:dyDescent="0.25">
      <c r="A693">
        <v>692</v>
      </c>
      <c r="B693">
        <v>1024</v>
      </c>
    </row>
    <row r="694" spans="1:2" x14ac:dyDescent="0.25">
      <c r="A694">
        <v>693</v>
      </c>
      <c r="B694">
        <v>1024</v>
      </c>
    </row>
    <row r="695" spans="1:2" x14ac:dyDescent="0.25">
      <c r="A695">
        <v>694</v>
      </c>
      <c r="B695">
        <v>1024</v>
      </c>
    </row>
    <row r="696" spans="1:2" x14ac:dyDescent="0.25">
      <c r="A696">
        <v>695</v>
      </c>
      <c r="B696">
        <v>1024</v>
      </c>
    </row>
    <row r="697" spans="1:2" x14ac:dyDescent="0.25">
      <c r="A697">
        <v>696</v>
      </c>
      <c r="B697">
        <v>1024</v>
      </c>
    </row>
    <row r="698" spans="1:2" x14ac:dyDescent="0.25">
      <c r="A698">
        <v>697</v>
      </c>
      <c r="B698">
        <v>1024</v>
      </c>
    </row>
    <row r="699" spans="1:2" x14ac:dyDescent="0.25">
      <c r="A699">
        <v>698</v>
      </c>
      <c r="B699">
        <v>1024</v>
      </c>
    </row>
    <row r="700" spans="1:2" x14ac:dyDescent="0.25">
      <c r="A700">
        <v>699</v>
      </c>
      <c r="B700">
        <v>1024</v>
      </c>
    </row>
    <row r="701" spans="1:2" x14ac:dyDescent="0.25">
      <c r="A701">
        <v>700</v>
      </c>
      <c r="B701">
        <v>1024</v>
      </c>
    </row>
    <row r="702" spans="1:2" x14ac:dyDescent="0.25">
      <c r="A702">
        <v>701</v>
      </c>
      <c r="B702">
        <v>1024</v>
      </c>
    </row>
    <row r="703" spans="1:2" x14ac:dyDescent="0.25">
      <c r="A703">
        <v>702</v>
      </c>
      <c r="B703">
        <v>1024</v>
      </c>
    </row>
    <row r="704" spans="1:2" x14ac:dyDescent="0.25">
      <c r="A704">
        <v>703</v>
      </c>
      <c r="B704">
        <v>1024</v>
      </c>
    </row>
    <row r="705" spans="1:2" x14ac:dyDescent="0.25">
      <c r="A705">
        <v>704</v>
      </c>
      <c r="B705">
        <v>1024</v>
      </c>
    </row>
    <row r="706" spans="1:2" x14ac:dyDescent="0.25">
      <c r="A706">
        <v>705</v>
      </c>
      <c r="B706">
        <v>1024</v>
      </c>
    </row>
    <row r="707" spans="1:2" x14ac:dyDescent="0.25">
      <c r="A707">
        <v>706</v>
      </c>
      <c r="B707">
        <v>1024</v>
      </c>
    </row>
    <row r="708" spans="1:2" x14ac:dyDescent="0.25">
      <c r="A708">
        <v>707</v>
      </c>
      <c r="B708">
        <v>1024</v>
      </c>
    </row>
    <row r="709" spans="1:2" x14ac:dyDescent="0.25">
      <c r="A709">
        <v>708</v>
      </c>
      <c r="B709">
        <v>1024</v>
      </c>
    </row>
    <row r="710" spans="1:2" x14ac:dyDescent="0.25">
      <c r="A710">
        <v>709</v>
      </c>
      <c r="B710">
        <v>1024</v>
      </c>
    </row>
    <row r="711" spans="1:2" x14ac:dyDescent="0.25">
      <c r="A711">
        <v>710</v>
      </c>
      <c r="B711">
        <v>1024</v>
      </c>
    </row>
    <row r="712" spans="1:2" x14ac:dyDescent="0.25">
      <c r="A712">
        <v>711</v>
      </c>
      <c r="B712">
        <v>1024</v>
      </c>
    </row>
    <row r="713" spans="1:2" x14ac:dyDescent="0.25">
      <c r="A713">
        <v>712</v>
      </c>
      <c r="B713">
        <v>1024</v>
      </c>
    </row>
    <row r="714" spans="1:2" x14ac:dyDescent="0.25">
      <c r="A714">
        <v>713</v>
      </c>
      <c r="B714">
        <v>1024</v>
      </c>
    </row>
    <row r="715" spans="1:2" x14ac:dyDescent="0.25">
      <c r="A715">
        <v>714</v>
      </c>
      <c r="B715">
        <v>1024</v>
      </c>
    </row>
    <row r="716" spans="1:2" x14ac:dyDescent="0.25">
      <c r="A716">
        <v>715</v>
      </c>
      <c r="B716">
        <v>1024</v>
      </c>
    </row>
    <row r="717" spans="1:2" x14ac:dyDescent="0.25">
      <c r="A717">
        <v>716</v>
      </c>
      <c r="B717">
        <v>1024</v>
      </c>
    </row>
    <row r="718" spans="1:2" x14ac:dyDescent="0.25">
      <c r="A718">
        <v>717</v>
      </c>
      <c r="B718">
        <v>1024</v>
      </c>
    </row>
    <row r="719" spans="1:2" x14ac:dyDescent="0.25">
      <c r="A719">
        <v>718</v>
      </c>
      <c r="B719">
        <v>1024</v>
      </c>
    </row>
    <row r="720" spans="1:2" x14ac:dyDescent="0.25">
      <c r="A720">
        <v>719</v>
      </c>
      <c r="B720">
        <v>1024</v>
      </c>
    </row>
    <row r="721" spans="1:2" x14ac:dyDescent="0.25">
      <c r="A721">
        <v>720</v>
      </c>
      <c r="B721">
        <v>1024</v>
      </c>
    </row>
    <row r="722" spans="1:2" x14ac:dyDescent="0.25">
      <c r="A722">
        <v>721</v>
      </c>
      <c r="B722">
        <v>1024</v>
      </c>
    </row>
    <row r="723" spans="1:2" x14ac:dyDescent="0.25">
      <c r="A723">
        <v>722</v>
      </c>
      <c r="B723">
        <v>1024</v>
      </c>
    </row>
    <row r="724" spans="1:2" x14ac:dyDescent="0.25">
      <c r="A724">
        <v>723</v>
      </c>
      <c r="B724">
        <v>1024</v>
      </c>
    </row>
    <row r="725" spans="1:2" x14ac:dyDescent="0.25">
      <c r="A725">
        <v>724</v>
      </c>
      <c r="B725">
        <v>1024</v>
      </c>
    </row>
    <row r="726" spans="1:2" x14ac:dyDescent="0.25">
      <c r="A726">
        <v>725</v>
      </c>
      <c r="B726">
        <v>1024</v>
      </c>
    </row>
    <row r="727" spans="1:2" x14ac:dyDescent="0.25">
      <c r="A727">
        <v>726</v>
      </c>
      <c r="B727">
        <v>1024</v>
      </c>
    </row>
    <row r="728" spans="1:2" x14ac:dyDescent="0.25">
      <c r="A728">
        <v>727</v>
      </c>
      <c r="B728">
        <v>1024</v>
      </c>
    </row>
    <row r="729" spans="1:2" x14ac:dyDescent="0.25">
      <c r="A729">
        <v>728</v>
      </c>
      <c r="B729">
        <v>1024</v>
      </c>
    </row>
    <row r="730" spans="1:2" x14ac:dyDescent="0.25">
      <c r="A730">
        <v>729</v>
      </c>
      <c r="B730">
        <v>1024</v>
      </c>
    </row>
    <row r="731" spans="1:2" x14ac:dyDescent="0.25">
      <c r="A731">
        <v>730</v>
      </c>
      <c r="B731">
        <v>1024</v>
      </c>
    </row>
    <row r="732" spans="1:2" x14ac:dyDescent="0.25">
      <c r="A732">
        <v>731</v>
      </c>
      <c r="B732">
        <v>1024</v>
      </c>
    </row>
    <row r="733" spans="1:2" x14ac:dyDescent="0.25">
      <c r="A733">
        <v>732</v>
      </c>
      <c r="B733">
        <v>1024</v>
      </c>
    </row>
    <row r="734" spans="1:2" x14ac:dyDescent="0.25">
      <c r="A734">
        <v>733</v>
      </c>
      <c r="B734">
        <v>1024</v>
      </c>
    </row>
    <row r="735" spans="1:2" x14ac:dyDescent="0.25">
      <c r="A735">
        <v>734</v>
      </c>
      <c r="B735">
        <v>1024</v>
      </c>
    </row>
    <row r="736" spans="1:2" x14ac:dyDescent="0.25">
      <c r="A736">
        <v>735</v>
      </c>
      <c r="B736">
        <v>1024</v>
      </c>
    </row>
    <row r="737" spans="1:2" x14ac:dyDescent="0.25">
      <c r="A737">
        <v>736</v>
      </c>
      <c r="B737">
        <v>1024</v>
      </c>
    </row>
    <row r="738" spans="1:2" x14ac:dyDescent="0.25">
      <c r="A738">
        <v>737</v>
      </c>
      <c r="B738">
        <v>1024</v>
      </c>
    </row>
    <row r="739" spans="1:2" x14ac:dyDescent="0.25">
      <c r="A739">
        <v>738</v>
      </c>
      <c r="B739">
        <v>1024</v>
      </c>
    </row>
    <row r="740" spans="1:2" x14ac:dyDescent="0.25">
      <c r="A740">
        <v>739</v>
      </c>
      <c r="B740">
        <v>1024</v>
      </c>
    </row>
    <row r="741" spans="1:2" x14ac:dyDescent="0.25">
      <c r="A741">
        <v>740</v>
      </c>
      <c r="B741">
        <v>1024</v>
      </c>
    </row>
    <row r="742" spans="1:2" x14ac:dyDescent="0.25">
      <c r="A742">
        <v>741</v>
      </c>
      <c r="B742">
        <v>1024</v>
      </c>
    </row>
    <row r="743" spans="1:2" x14ac:dyDescent="0.25">
      <c r="A743">
        <v>742</v>
      </c>
      <c r="B743">
        <v>1024</v>
      </c>
    </row>
    <row r="744" spans="1:2" x14ac:dyDescent="0.25">
      <c r="A744">
        <v>743</v>
      </c>
      <c r="B744">
        <v>1024</v>
      </c>
    </row>
    <row r="745" spans="1:2" x14ac:dyDescent="0.25">
      <c r="A745">
        <v>744</v>
      </c>
      <c r="B745">
        <v>1024</v>
      </c>
    </row>
    <row r="746" spans="1:2" x14ac:dyDescent="0.25">
      <c r="A746">
        <v>745</v>
      </c>
      <c r="B746">
        <v>1024</v>
      </c>
    </row>
    <row r="747" spans="1:2" x14ac:dyDescent="0.25">
      <c r="A747">
        <v>746</v>
      </c>
      <c r="B747">
        <v>1024</v>
      </c>
    </row>
    <row r="748" spans="1:2" x14ac:dyDescent="0.25">
      <c r="A748">
        <v>747</v>
      </c>
      <c r="B748">
        <v>1024</v>
      </c>
    </row>
    <row r="749" spans="1:2" x14ac:dyDescent="0.25">
      <c r="A749">
        <v>748</v>
      </c>
      <c r="B749">
        <v>1024</v>
      </c>
    </row>
    <row r="750" spans="1:2" x14ac:dyDescent="0.25">
      <c r="A750">
        <v>749</v>
      </c>
      <c r="B750">
        <v>1024</v>
      </c>
    </row>
    <row r="751" spans="1:2" x14ac:dyDescent="0.25">
      <c r="A751">
        <v>750</v>
      </c>
      <c r="B751">
        <v>1024</v>
      </c>
    </row>
    <row r="752" spans="1:2" x14ac:dyDescent="0.25">
      <c r="A752">
        <v>751</v>
      </c>
      <c r="B752">
        <v>1024</v>
      </c>
    </row>
    <row r="753" spans="1:2" x14ac:dyDescent="0.25">
      <c r="A753">
        <v>752</v>
      </c>
      <c r="B753">
        <v>1024</v>
      </c>
    </row>
    <row r="754" spans="1:2" x14ac:dyDescent="0.25">
      <c r="A754">
        <v>753</v>
      </c>
      <c r="B754">
        <v>1024</v>
      </c>
    </row>
    <row r="755" spans="1:2" x14ac:dyDescent="0.25">
      <c r="A755">
        <v>754</v>
      </c>
      <c r="B755">
        <v>1024</v>
      </c>
    </row>
    <row r="756" spans="1:2" x14ac:dyDescent="0.25">
      <c r="A756">
        <v>755</v>
      </c>
      <c r="B756">
        <v>1024</v>
      </c>
    </row>
    <row r="757" spans="1:2" x14ac:dyDescent="0.25">
      <c r="A757">
        <v>756</v>
      </c>
      <c r="B757">
        <v>1024</v>
      </c>
    </row>
    <row r="758" spans="1:2" x14ac:dyDescent="0.25">
      <c r="A758">
        <v>757</v>
      </c>
      <c r="B758">
        <v>1024</v>
      </c>
    </row>
    <row r="759" spans="1:2" x14ac:dyDescent="0.25">
      <c r="A759">
        <v>758</v>
      </c>
      <c r="B759">
        <v>1024</v>
      </c>
    </row>
    <row r="760" spans="1:2" x14ac:dyDescent="0.25">
      <c r="A760">
        <v>759</v>
      </c>
      <c r="B760">
        <v>1024</v>
      </c>
    </row>
    <row r="761" spans="1:2" x14ac:dyDescent="0.25">
      <c r="A761">
        <v>760</v>
      </c>
      <c r="B761">
        <v>1024</v>
      </c>
    </row>
    <row r="762" spans="1:2" x14ac:dyDescent="0.25">
      <c r="A762">
        <v>761</v>
      </c>
      <c r="B762">
        <v>1024</v>
      </c>
    </row>
    <row r="763" spans="1:2" x14ac:dyDescent="0.25">
      <c r="A763">
        <v>762</v>
      </c>
      <c r="B763">
        <v>1024</v>
      </c>
    </row>
    <row r="764" spans="1:2" x14ac:dyDescent="0.25">
      <c r="A764">
        <v>763</v>
      </c>
      <c r="B764">
        <v>1024</v>
      </c>
    </row>
    <row r="765" spans="1:2" x14ac:dyDescent="0.25">
      <c r="A765">
        <v>764</v>
      </c>
      <c r="B765">
        <v>1024</v>
      </c>
    </row>
    <row r="766" spans="1:2" x14ac:dyDescent="0.25">
      <c r="A766">
        <v>765</v>
      </c>
      <c r="B766">
        <v>1024</v>
      </c>
    </row>
    <row r="767" spans="1:2" x14ac:dyDescent="0.25">
      <c r="A767">
        <v>766</v>
      </c>
      <c r="B767">
        <v>1024</v>
      </c>
    </row>
    <row r="768" spans="1:2" x14ac:dyDescent="0.25">
      <c r="A768">
        <v>767</v>
      </c>
      <c r="B768">
        <v>1024</v>
      </c>
    </row>
    <row r="769" spans="1:2" x14ac:dyDescent="0.25">
      <c r="A769">
        <v>768</v>
      </c>
      <c r="B769">
        <v>1024</v>
      </c>
    </row>
    <row r="770" spans="1:2" x14ac:dyDescent="0.25">
      <c r="A770">
        <v>769</v>
      </c>
      <c r="B770">
        <v>1024</v>
      </c>
    </row>
    <row r="771" spans="1:2" x14ac:dyDescent="0.25">
      <c r="A771">
        <v>770</v>
      </c>
      <c r="B771">
        <v>1024</v>
      </c>
    </row>
    <row r="772" spans="1:2" x14ac:dyDescent="0.25">
      <c r="A772">
        <v>771</v>
      </c>
      <c r="B772">
        <v>1024</v>
      </c>
    </row>
    <row r="773" spans="1:2" x14ac:dyDescent="0.25">
      <c r="A773">
        <v>772</v>
      </c>
      <c r="B773">
        <v>1024</v>
      </c>
    </row>
    <row r="774" spans="1:2" x14ac:dyDescent="0.25">
      <c r="A774">
        <v>773</v>
      </c>
      <c r="B774">
        <v>1024</v>
      </c>
    </row>
    <row r="775" spans="1:2" x14ac:dyDescent="0.25">
      <c r="A775">
        <v>774</v>
      </c>
      <c r="B775">
        <v>1024</v>
      </c>
    </row>
    <row r="776" spans="1:2" x14ac:dyDescent="0.25">
      <c r="A776">
        <v>775</v>
      </c>
      <c r="B776">
        <v>1024</v>
      </c>
    </row>
    <row r="777" spans="1:2" x14ac:dyDescent="0.25">
      <c r="A777">
        <v>776</v>
      </c>
      <c r="B777">
        <v>1024</v>
      </c>
    </row>
    <row r="778" spans="1:2" x14ac:dyDescent="0.25">
      <c r="A778">
        <v>777</v>
      </c>
      <c r="B778">
        <v>1024</v>
      </c>
    </row>
    <row r="779" spans="1:2" x14ac:dyDescent="0.25">
      <c r="A779">
        <v>778</v>
      </c>
      <c r="B779">
        <v>1024</v>
      </c>
    </row>
    <row r="780" spans="1:2" x14ac:dyDescent="0.25">
      <c r="A780">
        <v>779</v>
      </c>
      <c r="B780">
        <v>1024</v>
      </c>
    </row>
    <row r="781" spans="1:2" x14ac:dyDescent="0.25">
      <c r="A781">
        <v>780</v>
      </c>
      <c r="B781">
        <v>1024</v>
      </c>
    </row>
    <row r="782" spans="1:2" x14ac:dyDescent="0.25">
      <c r="A782">
        <v>781</v>
      </c>
      <c r="B782">
        <v>1024</v>
      </c>
    </row>
    <row r="783" spans="1:2" x14ac:dyDescent="0.25">
      <c r="A783">
        <v>782</v>
      </c>
      <c r="B783">
        <v>1024</v>
      </c>
    </row>
    <row r="784" spans="1:2" x14ac:dyDescent="0.25">
      <c r="A784">
        <v>783</v>
      </c>
      <c r="B784">
        <v>1024</v>
      </c>
    </row>
    <row r="785" spans="1:2" x14ac:dyDescent="0.25">
      <c r="A785">
        <v>784</v>
      </c>
      <c r="B785">
        <v>1024</v>
      </c>
    </row>
    <row r="786" spans="1:2" x14ac:dyDescent="0.25">
      <c r="A786">
        <v>785</v>
      </c>
      <c r="B786">
        <v>1024</v>
      </c>
    </row>
    <row r="787" spans="1:2" x14ac:dyDescent="0.25">
      <c r="A787">
        <v>786</v>
      </c>
      <c r="B787">
        <v>1024</v>
      </c>
    </row>
    <row r="788" spans="1:2" x14ac:dyDescent="0.25">
      <c r="A788">
        <v>787</v>
      </c>
      <c r="B788">
        <v>1024</v>
      </c>
    </row>
    <row r="789" spans="1:2" x14ac:dyDescent="0.25">
      <c r="A789">
        <v>788</v>
      </c>
      <c r="B789">
        <v>1024</v>
      </c>
    </row>
    <row r="790" spans="1:2" x14ac:dyDescent="0.25">
      <c r="A790">
        <v>789</v>
      </c>
      <c r="B790">
        <v>1024</v>
      </c>
    </row>
    <row r="791" spans="1:2" x14ac:dyDescent="0.25">
      <c r="A791">
        <v>790</v>
      </c>
      <c r="B791">
        <v>1024</v>
      </c>
    </row>
    <row r="792" spans="1:2" x14ac:dyDescent="0.25">
      <c r="A792">
        <v>791</v>
      </c>
      <c r="B792">
        <v>1024</v>
      </c>
    </row>
    <row r="793" spans="1:2" x14ac:dyDescent="0.25">
      <c r="A793">
        <v>792</v>
      </c>
      <c r="B793">
        <v>1024</v>
      </c>
    </row>
    <row r="794" spans="1:2" x14ac:dyDescent="0.25">
      <c r="A794">
        <v>793</v>
      </c>
      <c r="B794">
        <v>1024</v>
      </c>
    </row>
    <row r="795" spans="1:2" x14ac:dyDescent="0.25">
      <c r="A795">
        <v>794</v>
      </c>
      <c r="B795">
        <v>1024</v>
      </c>
    </row>
    <row r="796" spans="1:2" x14ac:dyDescent="0.25">
      <c r="A796">
        <v>795</v>
      </c>
      <c r="B796">
        <v>1024</v>
      </c>
    </row>
    <row r="797" spans="1:2" x14ac:dyDescent="0.25">
      <c r="A797">
        <v>796</v>
      </c>
      <c r="B797">
        <v>1024</v>
      </c>
    </row>
    <row r="798" spans="1:2" x14ac:dyDescent="0.25">
      <c r="A798">
        <v>797</v>
      </c>
      <c r="B798">
        <v>1024</v>
      </c>
    </row>
    <row r="799" spans="1:2" x14ac:dyDescent="0.25">
      <c r="A799">
        <v>798</v>
      </c>
      <c r="B799">
        <v>1024</v>
      </c>
    </row>
    <row r="800" spans="1:2" x14ac:dyDescent="0.25">
      <c r="A800">
        <v>799</v>
      </c>
      <c r="B800">
        <v>1024</v>
      </c>
    </row>
    <row r="801" spans="1:2" x14ac:dyDescent="0.25">
      <c r="A801">
        <v>800</v>
      </c>
      <c r="B801">
        <v>1024</v>
      </c>
    </row>
    <row r="802" spans="1:2" x14ac:dyDescent="0.25">
      <c r="A802">
        <v>801</v>
      </c>
      <c r="B802">
        <v>1024</v>
      </c>
    </row>
    <row r="803" spans="1:2" x14ac:dyDescent="0.25">
      <c r="A803">
        <v>802</v>
      </c>
      <c r="B803">
        <v>1024</v>
      </c>
    </row>
    <row r="804" spans="1:2" x14ac:dyDescent="0.25">
      <c r="A804">
        <v>803</v>
      </c>
      <c r="B804">
        <v>1024</v>
      </c>
    </row>
    <row r="805" spans="1:2" x14ac:dyDescent="0.25">
      <c r="A805">
        <v>804</v>
      </c>
      <c r="B805">
        <v>1024</v>
      </c>
    </row>
    <row r="806" spans="1:2" x14ac:dyDescent="0.25">
      <c r="A806">
        <v>805</v>
      </c>
      <c r="B806">
        <v>1024</v>
      </c>
    </row>
    <row r="807" spans="1:2" x14ac:dyDescent="0.25">
      <c r="A807">
        <v>806</v>
      </c>
      <c r="B807">
        <v>1024</v>
      </c>
    </row>
    <row r="808" spans="1:2" x14ac:dyDescent="0.25">
      <c r="A808">
        <v>807</v>
      </c>
      <c r="B808">
        <v>1024</v>
      </c>
    </row>
    <row r="809" spans="1:2" x14ac:dyDescent="0.25">
      <c r="A809">
        <v>808</v>
      </c>
      <c r="B809">
        <v>1024</v>
      </c>
    </row>
    <row r="810" spans="1:2" x14ac:dyDescent="0.25">
      <c r="A810">
        <v>809</v>
      </c>
      <c r="B810">
        <v>1024</v>
      </c>
    </row>
    <row r="811" spans="1:2" x14ac:dyDescent="0.25">
      <c r="A811">
        <v>810</v>
      </c>
      <c r="B811">
        <v>1024</v>
      </c>
    </row>
    <row r="812" spans="1:2" x14ac:dyDescent="0.25">
      <c r="A812">
        <v>811</v>
      </c>
      <c r="B812">
        <v>1024</v>
      </c>
    </row>
    <row r="813" spans="1:2" x14ac:dyDescent="0.25">
      <c r="A813">
        <v>812</v>
      </c>
      <c r="B813">
        <v>1024</v>
      </c>
    </row>
    <row r="814" spans="1:2" x14ac:dyDescent="0.25">
      <c r="A814">
        <v>813</v>
      </c>
      <c r="B814">
        <v>1024</v>
      </c>
    </row>
    <row r="815" spans="1:2" x14ac:dyDescent="0.25">
      <c r="A815">
        <v>814</v>
      </c>
      <c r="B815">
        <v>1024</v>
      </c>
    </row>
    <row r="816" spans="1:2" x14ac:dyDescent="0.25">
      <c r="A816">
        <v>815</v>
      </c>
      <c r="B816">
        <v>1024</v>
      </c>
    </row>
    <row r="817" spans="1:2" x14ac:dyDescent="0.25">
      <c r="A817">
        <v>816</v>
      </c>
      <c r="B817">
        <v>1024</v>
      </c>
    </row>
    <row r="818" spans="1:2" x14ac:dyDescent="0.25">
      <c r="A818">
        <v>817</v>
      </c>
      <c r="B818">
        <v>1024</v>
      </c>
    </row>
    <row r="819" spans="1:2" x14ac:dyDescent="0.25">
      <c r="A819">
        <v>818</v>
      </c>
      <c r="B819">
        <v>1024</v>
      </c>
    </row>
    <row r="820" spans="1:2" x14ac:dyDescent="0.25">
      <c r="A820">
        <v>819</v>
      </c>
      <c r="B820">
        <v>1024</v>
      </c>
    </row>
    <row r="821" spans="1:2" x14ac:dyDescent="0.25">
      <c r="A821">
        <v>820</v>
      </c>
      <c r="B821">
        <v>1024</v>
      </c>
    </row>
    <row r="822" spans="1:2" x14ac:dyDescent="0.25">
      <c r="A822">
        <v>821</v>
      </c>
      <c r="B822">
        <v>1024</v>
      </c>
    </row>
    <row r="823" spans="1:2" x14ac:dyDescent="0.25">
      <c r="A823">
        <v>822</v>
      </c>
      <c r="B823">
        <v>1024</v>
      </c>
    </row>
    <row r="824" spans="1:2" x14ac:dyDescent="0.25">
      <c r="A824">
        <v>823</v>
      </c>
      <c r="B824">
        <v>1024</v>
      </c>
    </row>
    <row r="825" spans="1:2" x14ac:dyDescent="0.25">
      <c r="A825">
        <v>824</v>
      </c>
      <c r="B825">
        <v>1024</v>
      </c>
    </row>
    <row r="826" spans="1:2" x14ac:dyDescent="0.25">
      <c r="A826">
        <v>825</v>
      </c>
      <c r="B826">
        <v>1024</v>
      </c>
    </row>
    <row r="827" spans="1:2" x14ac:dyDescent="0.25">
      <c r="A827">
        <v>826</v>
      </c>
      <c r="B827">
        <v>1024</v>
      </c>
    </row>
    <row r="828" spans="1:2" x14ac:dyDescent="0.25">
      <c r="A828">
        <v>827</v>
      </c>
      <c r="B828">
        <v>1024</v>
      </c>
    </row>
    <row r="829" spans="1:2" x14ac:dyDescent="0.25">
      <c r="A829">
        <v>828</v>
      </c>
      <c r="B829">
        <v>1024</v>
      </c>
    </row>
    <row r="830" spans="1:2" x14ac:dyDescent="0.25">
      <c r="A830">
        <v>829</v>
      </c>
      <c r="B830">
        <v>1024</v>
      </c>
    </row>
    <row r="831" spans="1:2" x14ac:dyDescent="0.25">
      <c r="A831">
        <v>830</v>
      </c>
      <c r="B831">
        <v>1024</v>
      </c>
    </row>
    <row r="832" spans="1:2" x14ac:dyDescent="0.25">
      <c r="A832">
        <v>831</v>
      </c>
      <c r="B832">
        <v>1024</v>
      </c>
    </row>
    <row r="833" spans="1:2" x14ac:dyDescent="0.25">
      <c r="A833">
        <v>832</v>
      </c>
      <c r="B833">
        <v>1024</v>
      </c>
    </row>
    <row r="834" spans="1:2" x14ac:dyDescent="0.25">
      <c r="A834">
        <v>833</v>
      </c>
      <c r="B834">
        <v>1024</v>
      </c>
    </row>
    <row r="835" spans="1:2" x14ac:dyDescent="0.25">
      <c r="A835">
        <v>834</v>
      </c>
      <c r="B835">
        <v>1024</v>
      </c>
    </row>
    <row r="836" spans="1:2" x14ac:dyDescent="0.25">
      <c r="A836">
        <v>835</v>
      </c>
      <c r="B836">
        <v>1024</v>
      </c>
    </row>
    <row r="837" spans="1:2" x14ac:dyDescent="0.25">
      <c r="A837">
        <v>836</v>
      </c>
      <c r="B837">
        <v>1024</v>
      </c>
    </row>
    <row r="838" spans="1:2" x14ac:dyDescent="0.25">
      <c r="A838">
        <v>837</v>
      </c>
      <c r="B838">
        <v>1024</v>
      </c>
    </row>
    <row r="839" spans="1:2" x14ac:dyDescent="0.25">
      <c r="A839">
        <v>838</v>
      </c>
      <c r="B839">
        <v>1024</v>
      </c>
    </row>
    <row r="840" spans="1:2" x14ac:dyDescent="0.25">
      <c r="A840">
        <v>839</v>
      </c>
      <c r="B840">
        <v>1024</v>
      </c>
    </row>
    <row r="841" spans="1:2" x14ac:dyDescent="0.25">
      <c r="A841">
        <v>840</v>
      </c>
      <c r="B841">
        <v>1024</v>
      </c>
    </row>
    <row r="842" spans="1:2" x14ac:dyDescent="0.25">
      <c r="A842">
        <v>841</v>
      </c>
      <c r="B842">
        <v>1024</v>
      </c>
    </row>
    <row r="843" spans="1:2" x14ac:dyDescent="0.25">
      <c r="A843">
        <v>842</v>
      </c>
      <c r="B843">
        <v>1024</v>
      </c>
    </row>
    <row r="844" spans="1:2" x14ac:dyDescent="0.25">
      <c r="A844">
        <v>843</v>
      </c>
      <c r="B844">
        <v>1024</v>
      </c>
    </row>
    <row r="845" spans="1:2" x14ac:dyDescent="0.25">
      <c r="A845">
        <v>844</v>
      </c>
      <c r="B845">
        <v>1024</v>
      </c>
    </row>
    <row r="846" spans="1:2" x14ac:dyDescent="0.25">
      <c r="A846">
        <v>845</v>
      </c>
      <c r="B846">
        <v>1024</v>
      </c>
    </row>
    <row r="847" spans="1:2" x14ac:dyDescent="0.25">
      <c r="A847">
        <v>846</v>
      </c>
      <c r="B847">
        <v>1024</v>
      </c>
    </row>
    <row r="848" spans="1:2" x14ac:dyDescent="0.25">
      <c r="A848">
        <v>847</v>
      </c>
      <c r="B848">
        <v>1024</v>
      </c>
    </row>
    <row r="849" spans="1:2" x14ac:dyDescent="0.25">
      <c r="A849">
        <v>848</v>
      </c>
      <c r="B849">
        <v>1024</v>
      </c>
    </row>
    <row r="850" spans="1:2" x14ac:dyDescent="0.25">
      <c r="A850">
        <v>849</v>
      </c>
      <c r="B850">
        <v>1024</v>
      </c>
    </row>
    <row r="851" spans="1:2" x14ac:dyDescent="0.25">
      <c r="A851">
        <v>850</v>
      </c>
      <c r="B851">
        <v>1024</v>
      </c>
    </row>
    <row r="852" spans="1:2" x14ac:dyDescent="0.25">
      <c r="A852">
        <v>851</v>
      </c>
      <c r="B852">
        <v>1024</v>
      </c>
    </row>
    <row r="853" spans="1:2" x14ac:dyDescent="0.25">
      <c r="A853">
        <v>852</v>
      </c>
      <c r="B853">
        <v>1024</v>
      </c>
    </row>
    <row r="854" spans="1:2" x14ac:dyDescent="0.25">
      <c r="A854">
        <v>853</v>
      </c>
      <c r="B854">
        <v>1024</v>
      </c>
    </row>
    <row r="855" spans="1:2" x14ac:dyDescent="0.25">
      <c r="A855">
        <v>854</v>
      </c>
      <c r="B855">
        <v>1024</v>
      </c>
    </row>
    <row r="856" spans="1:2" x14ac:dyDescent="0.25">
      <c r="A856">
        <v>855</v>
      </c>
      <c r="B856">
        <v>1024</v>
      </c>
    </row>
    <row r="857" spans="1:2" x14ac:dyDescent="0.25">
      <c r="A857">
        <v>856</v>
      </c>
      <c r="B857">
        <v>1024</v>
      </c>
    </row>
    <row r="858" spans="1:2" x14ac:dyDescent="0.25">
      <c r="A858">
        <v>857</v>
      </c>
      <c r="B858">
        <v>1024</v>
      </c>
    </row>
    <row r="859" spans="1:2" x14ac:dyDescent="0.25">
      <c r="A859">
        <v>858</v>
      </c>
      <c r="B859">
        <v>1024</v>
      </c>
    </row>
    <row r="860" spans="1:2" x14ac:dyDescent="0.25">
      <c r="A860">
        <v>859</v>
      </c>
      <c r="B860">
        <v>1024</v>
      </c>
    </row>
    <row r="861" spans="1:2" x14ac:dyDescent="0.25">
      <c r="A861">
        <v>860</v>
      </c>
      <c r="B861">
        <v>1024</v>
      </c>
    </row>
    <row r="862" spans="1:2" x14ac:dyDescent="0.25">
      <c r="A862">
        <v>861</v>
      </c>
      <c r="B862">
        <v>1024</v>
      </c>
    </row>
    <row r="863" spans="1:2" x14ac:dyDescent="0.25">
      <c r="A863">
        <v>862</v>
      </c>
      <c r="B863">
        <v>1024</v>
      </c>
    </row>
    <row r="864" spans="1:2" x14ac:dyDescent="0.25">
      <c r="A864">
        <v>863</v>
      </c>
      <c r="B864">
        <v>1024</v>
      </c>
    </row>
    <row r="865" spans="1:2" x14ac:dyDescent="0.25">
      <c r="A865">
        <v>864</v>
      </c>
      <c r="B865">
        <v>1024</v>
      </c>
    </row>
    <row r="866" spans="1:2" x14ac:dyDescent="0.25">
      <c r="A866">
        <v>865</v>
      </c>
      <c r="B866">
        <v>1024</v>
      </c>
    </row>
    <row r="867" spans="1:2" x14ac:dyDescent="0.25">
      <c r="A867">
        <v>866</v>
      </c>
      <c r="B867">
        <v>1024</v>
      </c>
    </row>
    <row r="868" spans="1:2" x14ac:dyDescent="0.25">
      <c r="A868">
        <v>867</v>
      </c>
      <c r="B868">
        <v>1024</v>
      </c>
    </row>
    <row r="869" spans="1:2" x14ac:dyDescent="0.25">
      <c r="A869">
        <v>868</v>
      </c>
      <c r="B869">
        <v>1024</v>
      </c>
    </row>
    <row r="870" spans="1:2" x14ac:dyDescent="0.25">
      <c r="A870">
        <v>869</v>
      </c>
      <c r="B870">
        <v>1024</v>
      </c>
    </row>
    <row r="871" spans="1:2" x14ac:dyDescent="0.25">
      <c r="A871">
        <v>870</v>
      </c>
      <c r="B871">
        <v>1024</v>
      </c>
    </row>
    <row r="872" spans="1:2" x14ac:dyDescent="0.25">
      <c r="A872">
        <v>871</v>
      </c>
      <c r="B872">
        <v>1024</v>
      </c>
    </row>
    <row r="873" spans="1:2" x14ac:dyDescent="0.25">
      <c r="A873">
        <v>872</v>
      </c>
      <c r="B873">
        <v>1024</v>
      </c>
    </row>
    <row r="874" spans="1:2" x14ac:dyDescent="0.25">
      <c r="A874">
        <v>873</v>
      </c>
      <c r="B874">
        <v>1024</v>
      </c>
    </row>
    <row r="875" spans="1:2" x14ac:dyDescent="0.25">
      <c r="A875">
        <v>874</v>
      </c>
      <c r="B875">
        <v>1024</v>
      </c>
    </row>
    <row r="876" spans="1:2" x14ac:dyDescent="0.25">
      <c r="A876">
        <v>875</v>
      </c>
      <c r="B876">
        <v>1024</v>
      </c>
    </row>
    <row r="877" spans="1:2" x14ac:dyDescent="0.25">
      <c r="A877">
        <v>876</v>
      </c>
      <c r="B877">
        <v>1024</v>
      </c>
    </row>
    <row r="878" spans="1:2" x14ac:dyDescent="0.25">
      <c r="A878">
        <v>877</v>
      </c>
      <c r="B878">
        <v>1024</v>
      </c>
    </row>
    <row r="879" spans="1:2" x14ac:dyDescent="0.25">
      <c r="A879">
        <v>878</v>
      </c>
      <c r="B879">
        <v>1024</v>
      </c>
    </row>
    <row r="880" spans="1:2" x14ac:dyDescent="0.25">
      <c r="A880">
        <v>879</v>
      </c>
      <c r="B880">
        <v>1024</v>
      </c>
    </row>
    <row r="881" spans="1:2" x14ac:dyDescent="0.25">
      <c r="A881">
        <v>880</v>
      </c>
      <c r="B881">
        <v>1024</v>
      </c>
    </row>
    <row r="882" spans="1:2" x14ac:dyDescent="0.25">
      <c r="A882">
        <v>881</v>
      </c>
      <c r="B882">
        <v>1024</v>
      </c>
    </row>
    <row r="883" spans="1:2" x14ac:dyDescent="0.25">
      <c r="A883">
        <v>882</v>
      </c>
      <c r="B883">
        <v>1024</v>
      </c>
    </row>
    <row r="884" spans="1:2" x14ac:dyDescent="0.25">
      <c r="A884">
        <v>883</v>
      </c>
      <c r="B884">
        <v>1024</v>
      </c>
    </row>
    <row r="885" spans="1:2" x14ac:dyDescent="0.25">
      <c r="A885">
        <v>884</v>
      </c>
      <c r="B885">
        <v>1024</v>
      </c>
    </row>
    <row r="886" spans="1:2" x14ac:dyDescent="0.25">
      <c r="A886">
        <v>885</v>
      </c>
      <c r="B886">
        <v>1024</v>
      </c>
    </row>
    <row r="887" spans="1:2" x14ac:dyDescent="0.25">
      <c r="A887">
        <v>886</v>
      </c>
      <c r="B887">
        <v>1024</v>
      </c>
    </row>
    <row r="888" spans="1:2" x14ac:dyDescent="0.25">
      <c r="A888">
        <v>887</v>
      </c>
      <c r="B888">
        <v>1024</v>
      </c>
    </row>
    <row r="889" spans="1:2" x14ac:dyDescent="0.25">
      <c r="A889">
        <v>888</v>
      </c>
      <c r="B889">
        <v>1024</v>
      </c>
    </row>
    <row r="890" spans="1:2" x14ac:dyDescent="0.25">
      <c r="A890">
        <v>889</v>
      </c>
      <c r="B890">
        <v>1024</v>
      </c>
    </row>
    <row r="891" spans="1:2" x14ac:dyDescent="0.25">
      <c r="A891">
        <v>890</v>
      </c>
      <c r="B891">
        <v>1024</v>
      </c>
    </row>
    <row r="892" spans="1:2" x14ac:dyDescent="0.25">
      <c r="A892">
        <v>891</v>
      </c>
      <c r="B892">
        <v>1024</v>
      </c>
    </row>
    <row r="893" spans="1:2" x14ac:dyDescent="0.25">
      <c r="A893">
        <v>892</v>
      </c>
      <c r="B893">
        <v>1024</v>
      </c>
    </row>
    <row r="894" spans="1:2" x14ac:dyDescent="0.25">
      <c r="A894">
        <v>893</v>
      </c>
      <c r="B894">
        <v>1024</v>
      </c>
    </row>
    <row r="895" spans="1:2" x14ac:dyDescent="0.25">
      <c r="A895">
        <v>894</v>
      </c>
      <c r="B895">
        <v>1024</v>
      </c>
    </row>
    <row r="896" spans="1:2" x14ac:dyDescent="0.25">
      <c r="A896">
        <v>895</v>
      </c>
      <c r="B896">
        <v>1024</v>
      </c>
    </row>
    <row r="897" spans="1:2" x14ac:dyDescent="0.25">
      <c r="A897">
        <v>896</v>
      </c>
      <c r="B897">
        <v>1024</v>
      </c>
    </row>
    <row r="898" spans="1:2" x14ac:dyDescent="0.25">
      <c r="A898">
        <v>897</v>
      </c>
      <c r="B898">
        <v>1024</v>
      </c>
    </row>
    <row r="899" spans="1:2" x14ac:dyDescent="0.25">
      <c r="A899">
        <v>898</v>
      </c>
      <c r="B899">
        <v>1024</v>
      </c>
    </row>
    <row r="900" spans="1:2" x14ac:dyDescent="0.25">
      <c r="A900">
        <v>899</v>
      </c>
      <c r="B900">
        <v>1024</v>
      </c>
    </row>
    <row r="901" spans="1:2" x14ac:dyDescent="0.25">
      <c r="A901">
        <v>900</v>
      </c>
      <c r="B901">
        <v>1024</v>
      </c>
    </row>
    <row r="902" spans="1:2" x14ac:dyDescent="0.25">
      <c r="A902">
        <v>901</v>
      </c>
      <c r="B902">
        <v>1024</v>
      </c>
    </row>
    <row r="903" spans="1:2" x14ac:dyDescent="0.25">
      <c r="A903">
        <v>902</v>
      </c>
      <c r="B903">
        <v>1024</v>
      </c>
    </row>
    <row r="904" spans="1:2" x14ac:dyDescent="0.25">
      <c r="A904">
        <v>903</v>
      </c>
      <c r="B904">
        <v>1024</v>
      </c>
    </row>
    <row r="905" spans="1:2" x14ac:dyDescent="0.25">
      <c r="A905">
        <v>904</v>
      </c>
      <c r="B905">
        <v>1024</v>
      </c>
    </row>
    <row r="906" spans="1:2" x14ac:dyDescent="0.25">
      <c r="A906">
        <v>905</v>
      </c>
      <c r="B906">
        <v>1024</v>
      </c>
    </row>
    <row r="907" spans="1:2" x14ac:dyDescent="0.25">
      <c r="A907">
        <v>906</v>
      </c>
      <c r="B907">
        <v>1024</v>
      </c>
    </row>
    <row r="908" spans="1:2" x14ac:dyDescent="0.25">
      <c r="A908">
        <v>907</v>
      </c>
      <c r="B908">
        <v>1024</v>
      </c>
    </row>
    <row r="909" spans="1:2" x14ac:dyDescent="0.25">
      <c r="A909">
        <v>908</v>
      </c>
      <c r="B909">
        <v>1024</v>
      </c>
    </row>
    <row r="910" spans="1:2" x14ac:dyDescent="0.25">
      <c r="A910">
        <v>909</v>
      </c>
      <c r="B910">
        <v>1024</v>
      </c>
    </row>
    <row r="911" spans="1:2" x14ac:dyDescent="0.25">
      <c r="A911">
        <v>910</v>
      </c>
      <c r="B911">
        <v>1024</v>
      </c>
    </row>
    <row r="912" spans="1:2" x14ac:dyDescent="0.25">
      <c r="A912">
        <v>911</v>
      </c>
      <c r="B912">
        <v>1024</v>
      </c>
    </row>
    <row r="913" spans="1:2" x14ac:dyDescent="0.25">
      <c r="A913">
        <v>912</v>
      </c>
      <c r="B913">
        <v>1024</v>
      </c>
    </row>
    <row r="914" spans="1:2" x14ac:dyDescent="0.25">
      <c r="A914">
        <v>913</v>
      </c>
      <c r="B914">
        <v>1024</v>
      </c>
    </row>
    <row r="915" spans="1:2" x14ac:dyDescent="0.25">
      <c r="A915">
        <v>914</v>
      </c>
      <c r="B915">
        <v>1024</v>
      </c>
    </row>
    <row r="916" spans="1:2" x14ac:dyDescent="0.25">
      <c r="A916">
        <v>915</v>
      </c>
      <c r="B916">
        <v>1024</v>
      </c>
    </row>
    <row r="917" spans="1:2" x14ac:dyDescent="0.25">
      <c r="A917">
        <v>916</v>
      </c>
      <c r="B917">
        <v>1024</v>
      </c>
    </row>
    <row r="918" spans="1:2" x14ac:dyDescent="0.25">
      <c r="A918">
        <v>917</v>
      </c>
      <c r="B918">
        <v>1024</v>
      </c>
    </row>
    <row r="919" spans="1:2" x14ac:dyDescent="0.25">
      <c r="A919">
        <v>918</v>
      </c>
      <c r="B919">
        <v>1024</v>
      </c>
    </row>
    <row r="920" spans="1:2" x14ac:dyDescent="0.25">
      <c r="A920">
        <v>919</v>
      </c>
      <c r="B920">
        <v>1024</v>
      </c>
    </row>
    <row r="921" spans="1:2" x14ac:dyDescent="0.25">
      <c r="A921">
        <v>920</v>
      </c>
      <c r="B921">
        <v>1024</v>
      </c>
    </row>
    <row r="922" spans="1:2" x14ac:dyDescent="0.25">
      <c r="A922">
        <v>921</v>
      </c>
      <c r="B922">
        <v>1024</v>
      </c>
    </row>
    <row r="923" spans="1:2" x14ac:dyDescent="0.25">
      <c r="A923">
        <v>922</v>
      </c>
      <c r="B923">
        <v>1024</v>
      </c>
    </row>
    <row r="924" spans="1:2" x14ac:dyDescent="0.25">
      <c r="A924">
        <v>923</v>
      </c>
      <c r="B924">
        <v>1024</v>
      </c>
    </row>
    <row r="925" spans="1:2" x14ac:dyDescent="0.25">
      <c r="A925">
        <v>924</v>
      </c>
      <c r="B925">
        <v>1024</v>
      </c>
    </row>
    <row r="926" spans="1:2" x14ac:dyDescent="0.25">
      <c r="A926">
        <v>925</v>
      </c>
      <c r="B926">
        <v>1024</v>
      </c>
    </row>
    <row r="927" spans="1:2" x14ac:dyDescent="0.25">
      <c r="A927">
        <v>926</v>
      </c>
      <c r="B927">
        <v>1024</v>
      </c>
    </row>
    <row r="928" spans="1:2" x14ac:dyDescent="0.25">
      <c r="A928">
        <v>927</v>
      </c>
      <c r="B928">
        <v>1024</v>
      </c>
    </row>
    <row r="929" spans="1:2" x14ac:dyDescent="0.25">
      <c r="A929">
        <v>928</v>
      </c>
      <c r="B929">
        <v>1024</v>
      </c>
    </row>
    <row r="930" spans="1:2" x14ac:dyDescent="0.25">
      <c r="A930">
        <v>929</v>
      </c>
      <c r="B930">
        <v>1024</v>
      </c>
    </row>
    <row r="931" spans="1:2" x14ac:dyDescent="0.25">
      <c r="A931">
        <v>930</v>
      </c>
      <c r="B931">
        <v>1024</v>
      </c>
    </row>
    <row r="932" spans="1:2" x14ac:dyDescent="0.25">
      <c r="A932">
        <v>931</v>
      </c>
      <c r="B932">
        <v>1024</v>
      </c>
    </row>
    <row r="933" spans="1:2" x14ac:dyDescent="0.25">
      <c r="A933">
        <v>932</v>
      </c>
      <c r="B933">
        <v>1024</v>
      </c>
    </row>
    <row r="934" spans="1:2" x14ac:dyDescent="0.25">
      <c r="A934">
        <v>933</v>
      </c>
      <c r="B934">
        <v>1024</v>
      </c>
    </row>
    <row r="935" spans="1:2" x14ac:dyDescent="0.25">
      <c r="A935">
        <v>934</v>
      </c>
      <c r="B935">
        <v>1024</v>
      </c>
    </row>
    <row r="936" spans="1:2" x14ac:dyDescent="0.25">
      <c r="A936">
        <v>935</v>
      </c>
      <c r="B936">
        <v>1024</v>
      </c>
    </row>
    <row r="937" spans="1:2" x14ac:dyDescent="0.25">
      <c r="A937">
        <v>936</v>
      </c>
      <c r="B937">
        <v>1024</v>
      </c>
    </row>
    <row r="938" spans="1:2" x14ac:dyDescent="0.25">
      <c r="A938">
        <v>937</v>
      </c>
      <c r="B938">
        <v>1024</v>
      </c>
    </row>
    <row r="939" spans="1:2" x14ac:dyDescent="0.25">
      <c r="A939">
        <v>938</v>
      </c>
      <c r="B939">
        <v>1024</v>
      </c>
    </row>
    <row r="940" spans="1:2" x14ac:dyDescent="0.25">
      <c r="A940">
        <v>939</v>
      </c>
      <c r="B940">
        <v>1024</v>
      </c>
    </row>
    <row r="941" spans="1:2" x14ac:dyDescent="0.25">
      <c r="A941">
        <v>940</v>
      </c>
      <c r="B941">
        <v>1024</v>
      </c>
    </row>
    <row r="942" spans="1:2" x14ac:dyDescent="0.25">
      <c r="A942">
        <v>941</v>
      </c>
      <c r="B942">
        <v>1024</v>
      </c>
    </row>
    <row r="943" spans="1:2" x14ac:dyDescent="0.25">
      <c r="A943">
        <v>942</v>
      </c>
      <c r="B943">
        <v>1024</v>
      </c>
    </row>
    <row r="944" spans="1:2" x14ac:dyDescent="0.25">
      <c r="A944">
        <v>943</v>
      </c>
      <c r="B944">
        <v>1024</v>
      </c>
    </row>
    <row r="945" spans="1:2" x14ac:dyDescent="0.25">
      <c r="A945">
        <v>944</v>
      </c>
      <c r="B945">
        <v>1024</v>
      </c>
    </row>
    <row r="946" spans="1:2" x14ac:dyDescent="0.25">
      <c r="A946">
        <v>945</v>
      </c>
      <c r="B946">
        <v>1024</v>
      </c>
    </row>
    <row r="947" spans="1:2" x14ac:dyDescent="0.25">
      <c r="A947">
        <v>946</v>
      </c>
      <c r="B947">
        <v>1024</v>
      </c>
    </row>
    <row r="948" spans="1:2" x14ac:dyDescent="0.25">
      <c r="A948">
        <v>947</v>
      </c>
      <c r="B948">
        <v>1024</v>
      </c>
    </row>
    <row r="949" spans="1:2" x14ac:dyDescent="0.25">
      <c r="A949">
        <v>948</v>
      </c>
      <c r="B949">
        <v>1024</v>
      </c>
    </row>
    <row r="950" spans="1:2" x14ac:dyDescent="0.25">
      <c r="A950">
        <v>949</v>
      </c>
      <c r="B950">
        <v>1024</v>
      </c>
    </row>
    <row r="951" spans="1:2" x14ac:dyDescent="0.25">
      <c r="A951">
        <v>950</v>
      </c>
      <c r="B951">
        <v>1024</v>
      </c>
    </row>
    <row r="952" spans="1:2" x14ac:dyDescent="0.25">
      <c r="A952">
        <v>951</v>
      </c>
      <c r="B952">
        <v>1024</v>
      </c>
    </row>
    <row r="953" spans="1:2" x14ac:dyDescent="0.25">
      <c r="A953">
        <v>952</v>
      </c>
      <c r="B953">
        <v>1024</v>
      </c>
    </row>
    <row r="954" spans="1:2" x14ac:dyDescent="0.25">
      <c r="A954">
        <v>953</v>
      </c>
      <c r="B954">
        <v>1024</v>
      </c>
    </row>
    <row r="955" spans="1:2" x14ac:dyDescent="0.25">
      <c r="A955">
        <v>954</v>
      </c>
      <c r="B955">
        <v>1024</v>
      </c>
    </row>
    <row r="956" spans="1:2" x14ac:dyDescent="0.25">
      <c r="A956">
        <v>955</v>
      </c>
      <c r="B956">
        <v>1024</v>
      </c>
    </row>
    <row r="957" spans="1:2" x14ac:dyDescent="0.25">
      <c r="A957">
        <v>956</v>
      </c>
      <c r="B957">
        <v>1024</v>
      </c>
    </row>
    <row r="958" spans="1:2" x14ac:dyDescent="0.25">
      <c r="A958">
        <v>957</v>
      </c>
      <c r="B958">
        <v>1024</v>
      </c>
    </row>
    <row r="959" spans="1:2" x14ac:dyDescent="0.25">
      <c r="A959">
        <v>958</v>
      </c>
      <c r="B959">
        <v>1024</v>
      </c>
    </row>
    <row r="960" spans="1:2" x14ac:dyDescent="0.25">
      <c r="A960">
        <v>959</v>
      </c>
      <c r="B960">
        <v>1024</v>
      </c>
    </row>
    <row r="961" spans="1:2" x14ac:dyDescent="0.25">
      <c r="A961">
        <v>960</v>
      </c>
      <c r="B961">
        <v>1024</v>
      </c>
    </row>
    <row r="962" spans="1:2" x14ac:dyDescent="0.25">
      <c r="A962">
        <v>961</v>
      </c>
      <c r="B962">
        <v>1024</v>
      </c>
    </row>
    <row r="963" spans="1:2" x14ac:dyDescent="0.25">
      <c r="A963">
        <v>962</v>
      </c>
      <c r="B963">
        <v>1024</v>
      </c>
    </row>
    <row r="964" spans="1:2" x14ac:dyDescent="0.25">
      <c r="A964">
        <v>963</v>
      </c>
      <c r="B964">
        <v>1024</v>
      </c>
    </row>
    <row r="965" spans="1:2" x14ac:dyDescent="0.25">
      <c r="A965">
        <v>964</v>
      </c>
      <c r="B965">
        <v>1024</v>
      </c>
    </row>
    <row r="966" spans="1:2" x14ac:dyDescent="0.25">
      <c r="A966">
        <v>965</v>
      </c>
      <c r="B966">
        <v>1024</v>
      </c>
    </row>
    <row r="967" spans="1:2" x14ac:dyDescent="0.25">
      <c r="A967">
        <v>966</v>
      </c>
      <c r="B967">
        <v>1024</v>
      </c>
    </row>
    <row r="968" spans="1:2" x14ac:dyDescent="0.25">
      <c r="A968">
        <v>967</v>
      </c>
      <c r="B968">
        <v>1024</v>
      </c>
    </row>
    <row r="969" spans="1:2" x14ac:dyDescent="0.25">
      <c r="A969">
        <v>968</v>
      </c>
      <c r="B969">
        <v>1024</v>
      </c>
    </row>
    <row r="970" spans="1:2" x14ac:dyDescent="0.25">
      <c r="A970">
        <v>969</v>
      </c>
      <c r="B970">
        <v>1024</v>
      </c>
    </row>
    <row r="971" spans="1:2" x14ac:dyDescent="0.25">
      <c r="A971">
        <v>970</v>
      </c>
      <c r="B971">
        <v>1024</v>
      </c>
    </row>
    <row r="972" spans="1:2" x14ac:dyDescent="0.25">
      <c r="A972">
        <v>971</v>
      </c>
      <c r="B972">
        <v>1024</v>
      </c>
    </row>
    <row r="973" spans="1:2" x14ac:dyDescent="0.25">
      <c r="A973">
        <v>972</v>
      </c>
      <c r="B973">
        <v>1024</v>
      </c>
    </row>
    <row r="974" spans="1:2" x14ac:dyDescent="0.25">
      <c r="A974">
        <v>973</v>
      </c>
      <c r="B974">
        <v>1024</v>
      </c>
    </row>
    <row r="975" spans="1:2" x14ac:dyDescent="0.25">
      <c r="A975">
        <v>974</v>
      </c>
      <c r="B975">
        <v>1024</v>
      </c>
    </row>
    <row r="976" spans="1:2" x14ac:dyDescent="0.25">
      <c r="A976">
        <v>975</v>
      </c>
      <c r="B976">
        <v>1024</v>
      </c>
    </row>
    <row r="977" spans="1:2" x14ac:dyDescent="0.25">
      <c r="A977">
        <v>976</v>
      </c>
      <c r="B977">
        <v>1024</v>
      </c>
    </row>
    <row r="978" spans="1:2" x14ac:dyDescent="0.25">
      <c r="A978">
        <v>977</v>
      </c>
      <c r="B978">
        <v>1024</v>
      </c>
    </row>
    <row r="979" spans="1:2" x14ac:dyDescent="0.25">
      <c r="A979">
        <v>978</v>
      </c>
      <c r="B979">
        <v>1024</v>
      </c>
    </row>
    <row r="980" spans="1:2" x14ac:dyDescent="0.25">
      <c r="A980">
        <v>979</v>
      </c>
      <c r="B980">
        <v>1024</v>
      </c>
    </row>
    <row r="981" spans="1:2" x14ac:dyDescent="0.25">
      <c r="A981">
        <v>980</v>
      </c>
      <c r="B981">
        <v>1024</v>
      </c>
    </row>
    <row r="982" spans="1:2" x14ac:dyDescent="0.25">
      <c r="A982">
        <v>981</v>
      </c>
      <c r="B982">
        <v>1024</v>
      </c>
    </row>
    <row r="983" spans="1:2" x14ac:dyDescent="0.25">
      <c r="A983">
        <v>982</v>
      </c>
      <c r="B983">
        <v>1024</v>
      </c>
    </row>
    <row r="984" spans="1:2" x14ac:dyDescent="0.25">
      <c r="A984">
        <v>983</v>
      </c>
      <c r="B984">
        <v>1024</v>
      </c>
    </row>
    <row r="985" spans="1:2" x14ac:dyDescent="0.25">
      <c r="A985">
        <v>984</v>
      </c>
      <c r="B985">
        <v>1024</v>
      </c>
    </row>
    <row r="986" spans="1:2" x14ac:dyDescent="0.25">
      <c r="A986">
        <v>985</v>
      </c>
      <c r="B986">
        <v>1024</v>
      </c>
    </row>
    <row r="987" spans="1:2" x14ac:dyDescent="0.25">
      <c r="A987">
        <v>986</v>
      </c>
      <c r="B987">
        <v>1024</v>
      </c>
    </row>
    <row r="988" spans="1:2" x14ac:dyDescent="0.25">
      <c r="A988">
        <v>987</v>
      </c>
      <c r="B988">
        <v>1024</v>
      </c>
    </row>
    <row r="989" spans="1:2" x14ac:dyDescent="0.25">
      <c r="A989">
        <v>988</v>
      </c>
      <c r="B989">
        <v>1024</v>
      </c>
    </row>
    <row r="990" spans="1:2" x14ac:dyDescent="0.25">
      <c r="A990">
        <v>989</v>
      </c>
      <c r="B990">
        <v>1024</v>
      </c>
    </row>
    <row r="991" spans="1:2" x14ac:dyDescent="0.25">
      <c r="A991">
        <v>990</v>
      </c>
      <c r="B991">
        <v>1024</v>
      </c>
    </row>
    <row r="992" spans="1:2" x14ac:dyDescent="0.25">
      <c r="A992">
        <v>991</v>
      </c>
      <c r="B992">
        <v>1024</v>
      </c>
    </row>
    <row r="993" spans="1:2" x14ac:dyDescent="0.25">
      <c r="A993">
        <v>992</v>
      </c>
      <c r="B993">
        <v>1024</v>
      </c>
    </row>
    <row r="994" spans="1:2" x14ac:dyDescent="0.25">
      <c r="A994">
        <v>993</v>
      </c>
      <c r="B994">
        <v>1024</v>
      </c>
    </row>
    <row r="995" spans="1:2" x14ac:dyDescent="0.25">
      <c r="A995">
        <v>994</v>
      </c>
      <c r="B995">
        <v>1024</v>
      </c>
    </row>
    <row r="996" spans="1:2" x14ac:dyDescent="0.25">
      <c r="A996">
        <v>995</v>
      </c>
      <c r="B996">
        <v>1024</v>
      </c>
    </row>
    <row r="997" spans="1:2" x14ac:dyDescent="0.25">
      <c r="A997">
        <v>996</v>
      </c>
      <c r="B997">
        <v>1024</v>
      </c>
    </row>
    <row r="998" spans="1:2" x14ac:dyDescent="0.25">
      <c r="A998">
        <v>997</v>
      </c>
      <c r="B998">
        <v>1024</v>
      </c>
    </row>
    <row r="999" spans="1:2" x14ac:dyDescent="0.25">
      <c r="A999">
        <v>998</v>
      </c>
      <c r="B999">
        <v>1024</v>
      </c>
    </row>
    <row r="1000" spans="1:2" x14ac:dyDescent="0.25">
      <c r="A1000">
        <v>999</v>
      </c>
      <c r="B1000">
        <v>1024</v>
      </c>
    </row>
    <row r="1001" spans="1:2" x14ac:dyDescent="0.25">
      <c r="A1001">
        <v>1000</v>
      </c>
      <c r="B1001">
        <v>1024</v>
      </c>
    </row>
    <row r="1002" spans="1:2" x14ac:dyDescent="0.25">
      <c r="A1002">
        <v>1001</v>
      </c>
      <c r="B1002">
        <v>1024</v>
      </c>
    </row>
    <row r="1003" spans="1:2" x14ac:dyDescent="0.25">
      <c r="A1003">
        <v>1002</v>
      </c>
      <c r="B1003">
        <v>1024</v>
      </c>
    </row>
    <row r="1004" spans="1:2" x14ac:dyDescent="0.25">
      <c r="A1004">
        <v>1003</v>
      </c>
      <c r="B1004">
        <v>1024</v>
      </c>
    </row>
    <row r="1005" spans="1:2" x14ac:dyDescent="0.25">
      <c r="A1005">
        <v>1004</v>
      </c>
      <c r="B1005">
        <v>1024</v>
      </c>
    </row>
    <row r="1006" spans="1:2" x14ac:dyDescent="0.25">
      <c r="A1006">
        <v>1005</v>
      </c>
      <c r="B1006">
        <v>1024</v>
      </c>
    </row>
    <row r="1007" spans="1:2" x14ac:dyDescent="0.25">
      <c r="A1007">
        <v>1006</v>
      </c>
      <c r="B1007">
        <v>1024</v>
      </c>
    </row>
    <row r="1008" spans="1:2" x14ac:dyDescent="0.25">
      <c r="A1008">
        <v>1007</v>
      </c>
      <c r="B1008">
        <v>1024</v>
      </c>
    </row>
    <row r="1009" spans="1:2" x14ac:dyDescent="0.25">
      <c r="A1009">
        <v>1008</v>
      </c>
      <c r="B1009">
        <v>1024</v>
      </c>
    </row>
    <row r="1010" spans="1:2" x14ac:dyDescent="0.25">
      <c r="A1010">
        <v>1009</v>
      </c>
      <c r="B1010">
        <v>1024</v>
      </c>
    </row>
    <row r="1011" spans="1:2" x14ac:dyDescent="0.25">
      <c r="A1011">
        <v>1010</v>
      </c>
      <c r="B1011">
        <v>1024</v>
      </c>
    </row>
    <row r="1012" spans="1:2" x14ac:dyDescent="0.25">
      <c r="A1012">
        <v>1011</v>
      </c>
      <c r="B1012">
        <v>1024</v>
      </c>
    </row>
    <row r="1013" spans="1:2" x14ac:dyDescent="0.25">
      <c r="A1013">
        <v>1012</v>
      </c>
      <c r="B1013">
        <v>1024</v>
      </c>
    </row>
    <row r="1014" spans="1:2" x14ac:dyDescent="0.25">
      <c r="A1014">
        <v>1013</v>
      </c>
      <c r="B1014">
        <v>1024</v>
      </c>
    </row>
    <row r="1015" spans="1:2" x14ac:dyDescent="0.25">
      <c r="A1015">
        <v>1014</v>
      </c>
      <c r="B1015">
        <v>1024</v>
      </c>
    </row>
    <row r="1016" spans="1:2" x14ac:dyDescent="0.25">
      <c r="A1016">
        <v>1015</v>
      </c>
      <c r="B1016">
        <v>1024</v>
      </c>
    </row>
    <row r="1017" spans="1:2" x14ac:dyDescent="0.25">
      <c r="A1017">
        <v>1016</v>
      </c>
      <c r="B1017">
        <v>1024</v>
      </c>
    </row>
    <row r="1018" spans="1:2" x14ac:dyDescent="0.25">
      <c r="A1018">
        <v>1017</v>
      </c>
      <c r="B1018">
        <v>1024</v>
      </c>
    </row>
    <row r="1019" spans="1:2" x14ac:dyDescent="0.25">
      <c r="A1019">
        <v>1018</v>
      </c>
      <c r="B1019">
        <v>1024</v>
      </c>
    </row>
    <row r="1020" spans="1:2" x14ac:dyDescent="0.25">
      <c r="A1020">
        <v>1019</v>
      </c>
      <c r="B1020">
        <v>1024</v>
      </c>
    </row>
    <row r="1021" spans="1:2" x14ac:dyDescent="0.25">
      <c r="A1021">
        <v>1020</v>
      </c>
      <c r="B1021">
        <v>1024</v>
      </c>
    </row>
    <row r="1022" spans="1:2" x14ac:dyDescent="0.25">
      <c r="A1022">
        <v>1021</v>
      </c>
      <c r="B1022">
        <v>1024</v>
      </c>
    </row>
    <row r="1023" spans="1:2" x14ac:dyDescent="0.25">
      <c r="A1023">
        <v>1022</v>
      </c>
      <c r="B1023">
        <v>1024</v>
      </c>
    </row>
    <row r="1024" spans="1:2" x14ac:dyDescent="0.25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Karol Woźniak</cp:lastModifiedBy>
  <cp:lastPrinted>2013-06-05T10:58:25Z</cp:lastPrinted>
  <dcterms:created xsi:type="dcterms:W3CDTF">2013-05-30T14:28:05Z</dcterms:created>
  <dcterms:modified xsi:type="dcterms:W3CDTF">2025-08-25T21:59:06Z</dcterms:modified>
</cp:coreProperties>
</file>